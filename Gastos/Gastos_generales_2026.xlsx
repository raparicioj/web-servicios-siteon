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DAF33208BBDF4D7/Escritorio/"/>
    </mc:Choice>
  </mc:AlternateContent>
  <xr:revisionPtr revIDLastSave="592" documentId="13_ncr:1_{56877716-1B7D-46C8-88A8-0CDBB4233A77}" xr6:coauthVersionLast="47" xr6:coauthVersionMax="47" xr10:uidLastSave="{FED9A27E-C82F-4F69-9268-862DE5E75712}"/>
  <bookViews>
    <workbookView xWindow="-120" yWindow="-120" windowWidth="29040" windowHeight="15720" firstSheet="1" activeTab="3" xr2:uid="{00000000-000D-0000-FFFF-FFFF00000000}"/>
  </bookViews>
  <sheets>
    <sheet name="2023" sheetId="3" r:id="rId1"/>
    <sheet name="2024" sheetId="4" r:id="rId2"/>
    <sheet name="2025" sheetId="6" r:id="rId3"/>
    <sheet name="2026" sheetId="8" r:id="rId4"/>
    <sheet name="Cuenta Luz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8" l="1"/>
  <c r="I50" i="8"/>
  <c r="C52" i="8"/>
  <c r="C65" i="8" s="1"/>
  <c r="C67" i="8" s="1"/>
  <c r="O30" i="8"/>
  <c r="D29" i="9"/>
  <c r="D26" i="9"/>
  <c r="I31" i="8"/>
  <c r="D23" i="9"/>
  <c r="D21" i="9"/>
  <c r="C28" i="8"/>
  <c r="D18" i="9"/>
  <c r="D16" i="9"/>
  <c r="D103" i="8"/>
  <c r="C103" i="8"/>
  <c r="C105" i="8" s="1"/>
  <c r="P84" i="8"/>
  <c r="O84" i="8"/>
  <c r="O86" i="8" s="1"/>
  <c r="J84" i="8"/>
  <c r="I84" i="8"/>
  <c r="I86" i="8" s="1"/>
  <c r="D84" i="8"/>
  <c r="C84" i="8"/>
  <c r="C86" i="8" s="1"/>
  <c r="O67" i="8"/>
  <c r="P65" i="8"/>
  <c r="O65" i="8"/>
  <c r="J65" i="8"/>
  <c r="D65" i="8"/>
  <c r="I65" i="8"/>
  <c r="I67" i="8" s="1"/>
  <c r="P43" i="8"/>
  <c r="O43" i="8"/>
  <c r="O45" i="8" s="1"/>
  <c r="J43" i="8"/>
  <c r="I43" i="8"/>
  <c r="I45" i="8" s="1"/>
  <c r="D43" i="8"/>
  <c r="C43" i="8"/>
  <c r="C45" i="8" s="1"/>
  <c r="P18" i="8"/>
  <c r="O18" i="8"/>
  <c r="O20" i="8" s="1"/>
  <c r="J18" i="8"/>
  <c r="I18" i="8"/>
  <c r="I20" i="8" s="1"/>
  <c r="D18" i="8"/>
  <c r="C18" i="8"/>
  <c r="C20" i="8" s="1"/>
  <c r="T84" i="6"/>
  <c r="T81" i="6"/>
  <c r="S80" i="6"/>
  <c r="I50" i="6"/>
  <c r="D103" i="6"/>
  <c r="C103" i="6"/>
  <c r="C105" i="6"/>
  <c r="P84" i="6"/>
  <c r="O84" i="6"/>
  <c r="O86" i="6" s="1"/>
  <c r="J84" i="6"/>
  <c r="I84" i="6"/>
  <c r="I86" i="6"/>
  <c r="D84" i="6"/>
  <c r="C84" i="6"/>
  <c r="C86" i="6"/>
  <c r="P65" i="6"/>
  <c r="O65" i="6"/>
  <c r="O67" i="6"/>
  <c r="J65" i="6"/>
  <c r="I65" i="6"/>
  <c r="I67" i="6"/>
  <c r="D65" i="6"/>
  <c r="C65" i="6"/>
  <c r="C67" i="6"/>
  <c r="P43" i="6"/>
  <c r="O43" i="6"/>
  <c r="O45" i="6"/>
  <c r="J43" i="6"/>
  <c r="I43" i="6"/>
  <c r="I45" i="6"/>
  <c r="D43" i="6"/>
  <c r="C43" i="6"/>
  <c r="C45" i="6"/>
  <c r="P18" i="6"/>
  <c r="O18" i="6"/>
  <c r="O20" i="6"/>
  <c r="J18" i="6"/>
  <c r="I18" i="6"/>
  <c r="I20" i="6"/>
  <c r="D18" i="6"/>
  <c r="C18" i="6"/>
  <c r="C20" i="6"/>
  <c r="C43" i="4"/>
  <c r="C45" i="4"/>
  <c r="O18" i="4"/>
  <c r="O20" i="4"/>
  <c r="C18" i="4"/>
  <c r="C20" i="4"/>
  <c r="O82" i="3"/>
  <c r="O84" i="3"/>
  <c r="H98" i="4"/>
  <c r="H99" i="4"/>
  <c r="D103" i="4"/>
  <c r="C103" i="4"/>
  <c r="C105" i="4"/>
  <c r="P84" i="4"/>
  <c r="O84" i="4"/>
  <c r="O86" i="4"/>
  <c r="J84" i="4"/>
  <c r="I84" i="4"/>
  <c r="I86" i="4"/>
  <c r="D84" i="4"/>
  <c r="C84" i="4"/>
  <c r="C86" i="4"/>
  <c r="P65" i="4"/>
  <c r="O65" i="4"/>
  <c r="O67" i="4"/>
  <c r="J65" i="4"/>
  <c r="I65" i="4"/>
  <c r="I67" i="4"/>
  <c r="D65" i="4"/>
  <c r="C65" i="4"/>
  <c r="C67" i="4"/>
  <c r="P43" i="4"/>
  <c r="O43" i="4"/>
  <c r="O45" i="4"/>
  <c r="J43" i="4"/>
  <c r="I43" i="4"/>
  <c r="I45" i="4"/>
  <c r="D43" i="4"/>
  <c r="P18" i="4"/>
  <c r="J18" i="4"/>
  <c r="I18" i="4"/>
  <c r="I20" i="4"/>
  <c r="D18" i="4"/>
  <c r="C101" i="3"/>
  <c r="C103" i="3"/>
  <c r="O17" i="3"/>
  <c r="D101" i="3"/>
  <c r="P82" i="3"/>
  <c r="J82" i="3"/>
  <c r="I82" i="3"/>
  <c r="I84" i="3"/>
  <c r="D82" i="3"/>
  <c r="C82" i="3"/>
  <c r="C84" i="3"/>
  <c r="P63" i="3"/>
  <c r="O63" i="3"/>
  <c r="O65" i="3"/>
  <c r="J63" i="3"/>
  <c r="I63" i="3"/>
  <c r="I65" i="3"/>
  <c r="D63" i="3"/>
  <c r="C63" i="3"/>
  <c r="C65" i="3"/>
  <c r="C42" i="3"/>
  <c r="C44" i="3"/>
  <c r="D42" i="3"/>
  <c r="P42" i="3"/>
  <c r="O42" i="3"/>
  <c r="O44" i="3"/>
  <c r="J42" i="3"/>
  <c r="I42" i="3"/>
  <c r="I44" i="3"/>
  <c r="J17" i="3"/>
  <c r="I17" i="3"/>
  <c r="I19" i="3"/>
  <c r="D17" i="3"/>
  <c r="C17" i="3"/>
  <c r="C19" i="3"/>
  <c r="P17" i="3"/>
  <c r="O19" i="3"/>
</calcChain>
</file>

<file path=xl/sharedStrings.xml><?xml version="1.0" encoding="utf-8"?>
<sst xmlns="http://schemas.openxmlformats.org/spreadsheetml/2006/main" count="1586" uniqueCount="192">
  <si>
    <t>Sueldo</t>
  </si>
  <si>
    <t>Haber</t>
  </si>
  <si>
    <t>ESTADO</t>
  </si>
  <si>
    <t>Total Deuda</t>
  </si>
  <si>
    <t>ENERO</t>
  </si>
  <si>
    <t>FEBRERO</t>
  </si>
  <si>
    <t>MARZO</t>
  </si>
  <si>
    <t>ABRIL</t>
  </si>
  <si>
    <t>MAYO</t>
  </si>
  <si>
    <t>JUNIO</t>
  </si>
  <si>
    <t>Deuda 9</t>
  </si>
  <si>
    <t>Deuda 10</t>
  </si>
  <si>
    <t>Deuda 11</t>
  </si>
  <si>
    <t>Deuda 13</t>
  </si>
  <si>
    <t>PAGADO</t>
  </si>
  <si>
    <t>EN DEUDA</t>
  </si>
  <si>
    <t>Deuda 12</t>
  </si>
  <si>
    <t>Alonso</t>
  </si>
  <si>
    <t>Unimarc</t>
  </si>
  <si>
    <t>TAG</t>
  </si>
  <si>
    <t>Julio</t>
  </si>
  <si>
    <t>Agosto</t>
  </si>
  <si>
    <t>Septiembre</t>
  </si>
  <si>
    <t>Octubre</t>
  </si>
  <si>
    <t>Noviembre</t>
  </si>
  <si>
    <t>Diciembre</t>
  </si>
  <si>
    <t>Depto</t>
  </si>
  <si>
    <t>CMR</t>
  </si>
  <si>
    <t>Creación Site ON</t>
  </si>
  <si>
    <t>Cambio de aceite</t>
  </si>
  <si>
    <t>Auto</t>
  </si>
  <si>
    <t>Tratamipsicologo/psiquiatra</t>
  </si>
  <si>
    <t>Celular</t>
  </si>
  <si>
    <t>Site On Inversion MACBook</t>
  </si>
  <si>
    <t>Entel</t>
  </si>
  <si>
    <t>Pamela</t>
  </si>
  <si>
    <t>Alonso (1.96169UF)</t>
  </si>
  <si>
    <t xml:space="preserve">Luz </t>
  </si>
  <si>
    <t>Permiso de circulación</t>
  </si>
  <si>
    <t>Cuota Prestamo P</t>
  </si>
  <si>
    <t>Chaqueta</t>
  </si>
  <si>
    <t xml:space="preserve">Audifonos </t>
  </si>
  <si>
    <t>Bencina pame</t>
  </si>
  <si>
    <t>pizza</t>
  </si>
  <si>
    <t>Tottus</t>
  </si>
  <si>
    <t>Parabrisas</t>
  </si>
  <si>
    <t>Bencina</t>
  </si>
  <si>
    <t>Acuenta</t>
  </si>
  <si>
    <t>Cuota Dent.Oenglish 2 de 3</t>
  </si>
  <si>
    <t>Cuota Dent.Oenglish 1 de 3</t>
  </si>
  <si>
    <t>Varios</t>
  </si>
  <si>
    <t>Donde Tommy</t>
  </si>
  <si>
    <t>Tag Survias</t>
  </si>
  <si>
    <t>Luz</t>
  </si>
  <si>
    <t>FCA  Celu</t>
  </si>
  <si>
    <t>Jabon y des.  pedido: 114363</t>
  </si>
  <si>
    <t>Pamela + Super</t>
  </si>
  <si>
    <t xml:space="preserve">Cuota </t>
  </si>
  <si>
    <t>Cuota Dent.Oenglish 3 de 3</t>
  </si>
  <si>
    <t>Gastos Casa</t>
  </si>
  <si>
    <t>Prestamo</t>
  </si>
  <si>
    <t>Arreglo Auto</t>
  </si>
  <si>
    <t xml:space="preserve">Leña </t>
  </si>
  <si>
    <t>Monkiki</t>
  </si>
  <si>
    <t>Paola</t>
  </si>
  <si>
    <t>Comida</t>
  </si>
  <si>
    <t>mes de arriendo</t>
  </si>
  <si>
    <t>Yo: 150.000</t>
  </si>
  <si>
    <t>Pao: 300.000</t>
  </si>
  <si>
    <t>Avance: 239.000</t>
  </si>
  <si>
    <t>Anticipo yo: 100.000</t>
  </si>
  <si>
    <t>Corredora: 150.000</t>
  </si>
  <si>
    <t>Total: 789.000</t>
  </si>
  <si>
    <t>mes de garantía</t>
  </si>
  <si>
    <t>Arriendo</t>
  </si>
  <si>
    <t>Flete</t>
  </si>
  <si>
    <t>Corredora</t>
  </si>
  <si>
    <t>Arriendo: 340.000</t>
  </si>
  <si>
    <t>Garantia: 340.000</t>
  </si>
  <si>
    <t>Total: 830.000</t>
  </si>
  <si>
    <t>Alonso (1.96169UTM)</t>
  </si>
  <si>
    <t>Otros Gastos</t>
  </si>
  <si>
    <t>Movistar</t>
  </si>
  <si>
    <t>Agua</t>
  </si>
  <si>
    <t>Gas</t>
  </si>
  <si>
    <t>estacionamiento</t>
  </si>
  <si>
    <t>Deudas Pao</t>
  </si>
  <si>
    <t>Prestamo para arriendo</t>
  </si>
  <si>
    <t xml:space="preserve">Avance </t>
  </si>
  <si>
    <t xml:space="preserve">Bencina </t>
  </si>
  <si>
    <t>Bencina Talca</t>
  </si>
  <si>
    <t>Deuda total</t>
  </si>
  <si>
    <t>8 Cuotas</t>
  </si>
  <si>
    <t>Cortinas</t>
  </si>
  <si>
    <t>Gasolina</t>
  </si>
  <si>
    <t>Agua Caliente</t>
  </si>
  <si>
    <t>lizmaria</t>
  </si>
  <si>
    <t>lider</t>
  </si>
  <si>
    <t>feria</t>
  </si>
  <si>
    <t>alonso</t>
  </si>
  <si>
    <t>Arriendo / GGCC</t>
  </si>
  <si>
    <t>Cuota Auto</t>
  </si>
  <si>
    <t>Arriendo / GGCC / Estacionamiento</t>
  </si>
  <si>
    <t>Cuota Denisse</t>
  </si>
  <si>
    <t>Mento Cuota 2</t>
  </si>
  <si>
    <t>Mento cuota 1</t>
  </si>
  <si>
    <t xml:space="preserve">Agua </t>
  </si>
  <si>
    <t>pendiente agua caliente</t>
  </si>
  <si>
    <t>-</t>
  </si>
  <si>
    <t>_89026</t>
  </si>
  <si>
    <t>_7020</t>
  </si>
  <si>
    <t>Cuota Auto 1/36</t>
  </si>
  <si>
    <t>Cuota Auto 2/36</t>
  </si>
  <si>
    <t>Cuota Denisse 01</t>
  </si>
  <si>
    <t>Luz maria</t>
  </si>
  <si>
    <t>Luz (1673704)</t>
  </si>
  <si>
    <t>Gas (1037068)</t>
  </si>
  <si>
    <t>Agua (651882)</t>
  </si>
  <si>
    <t>Deuda Denisse</t>
  </si>
  <si>
    <t>Agua Caliente y quincho</t>
  </si>
  <si>
    <t>Deuda Denisse 1</t>
  </si>
  <si>
    <t>Cuota Denisse 2</t>
  </si>
  <si>
    <t>Linea de Credito</t>
  </si>
  <si>
    <t>Cuota Denisse 3</t>
  </si>
  <si>
    <t>Autopistas</t>
  </si>
  <si>
    <t>Autopase</t>
  </si>
  <si>
    <t>Linea de credito</t>
  </si>
  <si>
    <t>pasaje Pao</t>
  </si>
  <si>
    <t xml:space="preserve">Paola </t>
  </si>
  <si>
    <t>Luz Maria</t>
  </si>
  <si>
    <t>Pao</t>
  </si>
  <si>
    <t xml:space="preserve">Agua caliente + multa </t>
  </si>
  <si>
    <t>Supermercado</t>
  </si>
  <si>
    <t>Ida a Stgo</t>
  </si>
  <si>
    <t>Mes pasado</t>
  </si>
  <si>
    <t>lavanderia</t>
  </si>
  <si>
    <t>asado</t>
  </si>
  <si>
    <t>Dentista</t>
  </si>
  <si>
    <t>Cuota Paola</t>
  </si>
  <si>
    <t>GGCC</t>
  </si>
  <si>
    <t>OOTT</t>
  </si>
  <si>
    <t>rolo</t>
  </si>
  <si>
    <t>VTR</t>
  </si>
  <si>
    <t>Nirvana</t>
  </si>
  <si>
    <t>Pendiente</t>
  </si>
  <si>
    <t>Luz CGE</t>
  </si>
  <si>
    <t>GGCC AC</t>
  </si>
  <si>
    <t>Luz maria (mama)</t>
  </si>
  <si>
    <t>Arriendo / Estacionamiento</t>
  </si>
  <si>
    <t>Psicologo</t>
  </si>
  <si>
    <t xml:space="preserve">Celular </t>
  </si>
  <si>
    <t>Saldo luz maria</t>
  </si>
  <si>
    <t>Saldo Luz Maria</t>
  </si>
  <si>
    <t>Fecha Ofic</t>
  </si>
  <si>
    <t>ina Nro D</t>
  </si>
  <si>
    <t>oc D</t>
  </si>
  <si>
    <t>escripción Cargo Abono Saldo</t>
  </si>
  <si>
    <t>SUCURSAL</t>
  </si>
  <si>
    <t>BTC</t>
  </si>
  <si>
    <t xml:space="preserve">Transf. de JIMENEZ OLIVARES LUZ MARIA $ 1.000 </t>
  </si>
  <si>
    <t xml:space="preserve">Transf. de JIMENEZ OLIVARES LUZ MARIA $ 5.000 </t>
  </si>
  <si>
    <t xml:space="preserve">Transf. de JIMENEZ OLIVARES LUZ MARIA $ 4.500 </t>
  </si>
  <si>
    <t xml:space="preserve">Transf. de JIMENEZ OLIVARES LUZ MARIA $ 40.000 </t>
  </si>
  <si>
    <t xml:space="preserve">Transf. de JIMENEZ OLIVARES LUZ MARIA $ 2.000 </t>
  </si>
  <si>
    <t>Transf. de JIMENEZ OLIVARES LUZ MARIA $ 10.000</t>
  </si>
  <si>
    <t>Transf. de JIMENEZ OLIVARES LUZ MARIA $ 15.000</t>
  </si>
  <si>
    <t>Febrero</t>
  </si>
  <si>
    <t>Saldo Enero</t>
  </si>
  <si>
    <t>Total</t>
  </si>
  <si>
    <t>Saldo</t>
  </si>
  <si>
    <t>Deudas Extras Calculo</t>
  </si>
  <si>
    <t>Abono</t>
  </si>
  <si>
    <t>extra luz maria</t>
  </si>
  <si>
    <t>Marco</t>
  </si>
  <si>
    <t>Estacionamiento</t>
  </si>
  <si>
    <t xml:space="preserve">mes actual </t>
  </si>
  <si>
    <t>Saldo Marzo</t>
  </si>
  <si>
    <t>Arriendo / Estacionamiento / AACC</t>
  </si>
  <si>
    <t>Celular 1+2</t>
  </si>
  <si>
    <t>Abril</t>
  </si>
  <si>
    <t>abono</t>
  </si>
  <si>
    <t>Asaso IA</t>
  </si>
  <si>
    <t xml:space="preserve">Abono </t>
  </si>
  <si>
    <t>Mayo</t>
  </si>
  <si>
    <t xml:space="preserve">Saldo mes </t>
  </si>
  <si>
    <t>Movistar casa</t>
  </si>
  <si>
    <t>abogado</t>
  </si>
  <si>
    <t>Estacionamiento 45,000</t>
  </si>
  <si>
    <t>Gas 107440 17 de agosto</t>
  </si>
  <si>
    <t>Nelson</t>
  </si>
  <si>
    <t>Gas Agosto</t>
  </si>
  <si>
    <t>Alonso Consorcio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</si>
</sst>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\ _€_-;\-* #,##0\ _€_-;_-* &quot;-&quot;??\ _€_-;_-@_-"/>
    <numFmt numFmtId="166" formatCode="&quot;$&quot;#,##0;[Red]&quot;$&quot;#,##0"/>
    <numFmt numFmtId="167" formatCode="&quot;$&quot;#,##0"/>
    <numFmt numFmtId="168" formatCode="[$$-340A]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165" fontId="0" fillId="0" borderId="2" xfId="1" applyNumberFormat="1" applyFont="1" applyBorder="1"/>
    <xf numFmtId="0" fontId="2" fillId="5" borderId="1" xfId="0" applyFont="1" applyFill="1" applyBorder="1" applyAlignment="1">
      <alignment horizontal="center"/>
    </xf>
    <xf numFmtId="165" fontId="2" fillId="2" borderId="3" xfId="0" applyNumberFormat="1" applyFont="1" applyFill="1" applyBorder="1"/>
    <xf numFmtId="0" fontId="0" fillId="0" borderId="1" xfId="0" applyBorder="1" applyAlignment="1">
      <alignment horizontal="center"/>
    </xf>
    <xf numFmtId="0" fontId="2" fillId="2" borderId="3" xfId="0" applyFont="1" applyFill="1" applyBorder="1"/>
    <xf numFmtId="165" fontId="3" fillId="6" borderId="3" xfId="1" applyNumberFormat="1" applyFont="1" applyFill="1" applyBorder="1"/>
    <xf numFmtId="165" fontId="0" fillId="7" borderId="0" xfId="0" applyNumberFormat="1" applyFill="1"/>
    <xf numFmtId="0" fontId="0" fillId="7" borderId="0" xfId="0" applyFill="1"/>
    <xf numFmtId="165" fontId="3" fillId="6" borderId="1" xfId="1" applyNumberFormat="1" applyFont="1" applyFill="1" applyBorder="1"/>
    <xf numFmtId="165" fontId="0" fillId="0" borderId="5" xfId="1" applyNumberFormat="1" applyFont="1" applyFill="1" applyBorder="1"/>
    <xf numFmtId="0" fontId="3" fillId="4" borderId="2" xfId="0" applyFont="1" applyFill="1" applyBorder="1"/>
    <xf numFmtId="165" fontId="3" fillId="4" borderId="4" xfId="0" applyNumberFormat="1" applyFont="1" applyFill="1" applyBorder="1"/>
    <xf numFmtId="0" fontId="3" fillId="4" borderId="7" xfId="0" applyFont="1" applyFill="1" applyBorder="1"/>
    <xf numFmtId="165" fontId="3" fillId="4" borderId="7" xfId="0" applyNumberFormat="1" applyFont="1" applyFill="1" applyBorder="1"/>
    <xf numFmtId="0" fontId="0" fillId="7" borderId="6" xfId="0" applyFill="1" applyBorder="1"/>
    <xf numFmtId="0" fontId="0" fillId="0" borderId="6" xfId="0" applyBorder="1"/>
    <xf numFmtId="0" fontId="3" fillId="4" borderId="6" xfId="0" applyFont="1" applyFill="1" applyBorder="1"/>
    <xf numFmtId="165" fontId="3" fillId="4" borderId="6" xfId="0" applyNumberFormat="1" applyFont="1" applyFill="1" applyBorder="1"/>
    <xf numFmtId="166" fontId="0" fillId="7" borderId="0" xfId="0" applyNumberFormat="1" applyFill="1"/>
    <xf numFmtId="0" fontId="0" fillId="0" borderId="8" xfId="0" applyBorder="1"/>
    <xf numFmtId="167" fontId="3" fillId="4" borderId="7" xfId="0" applyNumberFormat="1" applyFont="1" applyFill="1" applyBorder="1"/>
    <xf numFmtId="165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3" fillId="0" borderId="1" xfId="0" applyFont="1" applyBorder="1" applyAlignment="1">
      <alignment horizontal="center"/>
    </xf>
    <xf numFmtId="167" fontId="3" fillId="4" borderId="1" xfId="0" applyNumberFormat="1" applyFont="1" applyFill="1" applyBorder="1"/>
    <xf numFmtId="0" fontId="0" fillId="0" borderId="5" xfId="0" applyBorder="1"/>
    <xf numFmtId="167" fontId="0" fillId="0" borderId="0" xfId="0" applyNumberFormat="1"/>
    <xf numFmtId="0" fontId="3" fillId="0" borderId="0" xfId="0" applyFont="1"/>
    <xf numFmtId="14" fontId="0" fillId="0" borderId="0" xfId="0" applyNumberFormat="1"/>
    <xf numFmtId="168" fontId="0" fillId="0" borderId="0" xfId="0" applyNumberFormat="1"/>
    <xf numFmtId="168" fontId="3" fillId="0" borderId="0" xfId="0" applyNumberFormat="1" applyFont="1"/>
    <xf numFmtId="49" fontId="2" fillId="5" borderId="2" xfId="0" applyNumberFormat="1" applyFont="1" applyFill="1" applyBorder="1" applyAlignment="1">
      <alignment horizontal="center"/>
    </xf>
    <xf numFmtId="49" fontId="2" fillId="5" borderId="4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04"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A3D6B6-BD5D-B445-AFC0-BC1273B239C8}">
  <we:reference id="wa200001584" version="2.5.0.0" store="es-MX" storeType="OMEX"/>
  <we:alternateReferences>
    <we:reference id="WA200001584" version="2.5.0.0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3"/>
  <sheetViews>
    <sheetView showGridLines="0" zoomScaleNormal="100" zoomScaleSheetLayoutView="90" workbookViewId="0">
      <selection activeCell="N94" sqref="N94"/>
    </sheetView>
  </sheetViews>
  <sheetFormatPr baseColWidth="10" defaultColWidth="11.42578125" defaultRowHeight="15" x14ac:dyDescent="0.25"/>
  <cols>
    <col min="1" max="1" width="3.42578125" customWidth="1"/>
    <col min="2" max="2" width="31.85546875" customWidth="1"/>
    <col min="3" max="3" width="13.140625" bestFit="1" customWidth="1"/>
    <col min="4" max="4" width="13" bestFit="1" customWidth="1"/>
    <col min="5" max="5" width="5.28515625" customWidth="1"/>
    <col min="6" max="6" width="4.140625" bestFit="1" customWidth="1"/>
    <col min="7" max="7" width="5.42578125" customWidth="1"/>
    <col min="8" max="8" width="31.42578125" bestFit="1" customWidth="1"/>
    <col min="9" max="9" width="14.42578125" customWidth="1"/>
    <col min="10" max="10" width="10.28515625" bestFit="1" customWidth="1"/>
    <col min="11" max="11" width="6.85546875" customWidth="1"/>
    <col min="12" max="12" width="5.140625" customWidth="1"/>
    <col min="13" max="13" width="5.28515625" customWidth="1"/>
    <col min="14" max="14" width="33.42578125" customWidth="1"/>
    <col min="15" max="15" width="19.42578125" bestFit="1" customWidth="1"/>
    <col min="16" max="16" width="10.28515625" bestFit="1" customWidth="1"/>
    <col min="17" max="17" width="18.28515625" customWidth="1"/>
  </cols>
  <sheetData>
    <row r="2" spans="1:17" x14ac:dyDescent="0.25">
      <c r="A2" s="13"/>
      <c r="B2" s="13"/>
      <c r="C2" s="13"/>
      <c r="D2" s="13"/>
      <c r="E2" s="13"/>
      <c r="G2" s="13"/>
      <c r="H2" s="13"/>
      <c r="I2" s="13"/>
      <c r="J2" s="13"/>
      <c r="K2" s="13"/>
      <c r="M2" s="13"/>
      <c r="N2" s="13"/>
      <c r="O2" s="13"/>
      <c r="P2" s="13"/>
      <c r="Q2" s="13"/>
    </row>
    <row r="3" spans="1:17" x14ac:dyDescent="0.25">
      <c r="A3" s="13"/>
      <c r="B3" s="38" t="s">
        <v>4</v>
      </c>
      <c r="C3" s="39"/>
      <c r="D3" s="7" t="s">
        <v>2</v>
      </c>
      <c r="E3" s="13"/>
      <c r="G3" s="13"/>
      <c r="H3" s="38" t="s">
        <v>5</v>
      </c>
      <c r="I3" s="39"/>
      <c r="J3" s="7" t="s">
        <v>2</v>
      </c>
      <c r="K3" s="13"/>
      <c r="M3" s="13"/>
      <c r="N3" s="38" t="s">
        <v>6</v>
      </c>
      <c r="O3" s="39"/>
      <c r="P3" s="7" t="s">
        <v>2</v>
      </c>
      <c r="Q3" s="13"/>
    </row>
    <row r="4" spans="1:17" x14ac:dyDescent="0.25">
      <c r="A4" s="13"/>
      <c r="B4" s="1" t="s">
        <v>17</v>
      </c>
      <c r="C4" s="6">
        <v>1000000</v>
      </c>
      <c r="D4" s="9" t="s">
        <v>15</v>
      </c>
      <c r="E4" s="13"/>
      <c r="G4" s="13"/>
      <c r="H4" s="1" t="s">
        <v>36</v>
      </c>
      <c r="I4" s="6">
        <v>121535</v>
      </c>
      <c r="J4" s="9" t="s">
        <v>14</v>
      </c>
      <c r="K4" s="13"/>
      <c r="M4" s="13"/>
      <c r="N4" s="1" t="s">
        <v>36</v>
      </c>
      <c r="O4" s="6">
        <v>122507</v>
      </c>
      <c r="P4" s="9" t="s">
        <v>14</v>
      </c>
      <c r="Q4" s="13"/>
    </row>
    <row r="5" spans="1:17" x14ac:dyDescent="0.25">
      <c r="A5" s="13"/>
      <c r="B5" s="1" t="s">
        <v>27</v>
      </c>
      <c r="C5" s="6">
        <v>170000</v>
      </c>
      <c r="D5" s="9" t="s">
        <v>14</v>
      </c>
      <c r="E5" s="13"/>
      <c r="G5" s="13"/>
      <c r="H5" s="1" t="s">
        <v>27</v>
      </c>
      <c r="I5" s="6">
        <v>111210</v>
      </c>
      <c r="J5" s="9" t="s">
        <v>14</v>
      </c>
      <c r="K5" s="13"/>
      <c r="M5" s="13"/>
      <c r="N5" s="1" t="s">
        <v>27</v>
      </c>
      <c r="O5" s="6">
        <v>74489</v>
      </c>
      <c r="P5" s="9" t="s">
        <v>14</v>
      </c>
      <c r="Q5" s="13"/>
    </row>
    <row r="6" spans="1:17" x14ac:dyDescent="0.25">
      <c r="A6" s="13"/>
      <c r="B6" s="1" t="s">
        <v>28</v>
      </c>
      <c r="C6" s="6"/>
      <c r="D6" s="9" t="s">
        <v>15</v>
      </c>
      <c r="E6" s="13"/>
      <c r="G6" s="13"/>
      <c r="H6" s="1" t="s">
        <v>18</v>
      </c>
      <c r="I6" s="6">
        <v>1129</v>
      </c>
      <c r="J6" s="9" t="s">
        <v>14</v>
      </c>
      <c r="K6" s="13"/>
      <c r="M6" s="13"/>
      <c r="N6" s="1" t="s">
        <v>18</v>
      </c>
      <c r="O6" s="6">
        <v>10000</v>
      </c>
      <c r="P6" s="9" t="s">
        <v>14</v>
      </c>
      <c r="Q6" s="13"/>
    </row>
    <row r="7" spans="1:17" x14ac:dyDescent="0.25">
      <c r="A7" s="13"/>
      <c r="B7" s="1" t="s">
        <v>33</v>
      </c>
      <c r="C7" s="6">
        <v>500000</v>
      </c>
      <c r="D7" s="9" t="s">
        <v>14</v>
      </c>
      <c r="E7" s="13"/>
      <c r="G7" s="13"/>
      <c r="H7" s="1" t="s">
        <v>19</v>
      </c>
      <c r="I7" s="6"/>
      <c r="J7" s="9" t="s">
        <v>15</v>
      </c>
      <c r="K7" s="13"/>
      <c r="M7" s="13"/>
      <c r="N7" s="1" t="s">
        <v>19</v>
      </c>
      <c r="O7" s="6">
        <v>40000</v>
      </c>
      <c r="P7" s="9" t="s">
        <v>14</v>
      </c>
      <c r="Q7" s="13"/>
    </row>
    <row r="8" spans="1:17" x14ac:dyDescent="0.25">
      <c r="A8" s="13"/>
      <c r="B8" s="1" t="s">
        <v>18</v>
      </c>
      <c r="C8" s="6">
        <v>100000</v>
      </c>
      <c r="D8" s="9" t="s">
        <v>14</v>
      </c>
      <c r="E8" s="13"/>
      <c r="G8" s="13"/>
      <c r="H8" s="1"/>
      <c r="I8" s="6"/>
      <c r="J8" s="9" t="s">
        <v>15</v>
      </c>
      <c r="K8" s="13"/>
      <c r="M8" s="13"/>
      <c r="N8" s="1" t="s">
        <v>34</v>
      </c>
      <c r="O8" s="6">
        <v>11117</v>
      </c>
      <c r="P8" s="9" t="s">
        <v>14</v>
      </c>
      <c r="Q8" s="13"/>
    </row>
    <row r="9" spans="1:17" x14ac:dyDescent="0.25">
      <c r="A9" s="13"/>
      <c r="B9" s="1" t="s">
        <v>19</v>
      </c>
      <c r="C9" s="6">
        <v>111437</v>
      </c>
      <c r="D9" s="9" t="s">
        <v>14</v>
      </c>
      <c r="E9" s="13"/>
      <c r="G9" s="13"/>
      <c r="H9" s="1" t="s">
        <v>34</v>
      </c>
      <c r="I9" s="6">
        <v>8123</v>
      </c>
      <c r="J9" s="9" t="s">
        <v>15</v>
      </c>
      <c r="K9" s="13"/>
      <c r="M9" s="13"/>
      <c r="N9" s="1" t="s">
        <v>38</v>
      </c>
      <c r="O9" s="6">
        <v>20000</v>
      </c>
      <c r="P9" s="9" t="s">
        <v>14</v>
      </c>
      <c r="Q9" s="13"/>
    </row>
    <row r="10" spans="1:17" x14ac:dyDescent="0.25">
      <c r="A10" s="13"/>
      <c r="B10" s="1" t="s">
        <v>29</v>
      </c>
      <c r="C10" s="6">
        <v>50000</v>
      </c>
      <c r="D10" s="9" t="s">
        <v>14</v>
      </c>
      <c r="E10" s="13"/>
      <c r="G10" s="13"/>
      <c r="H10" s="1" t="s">
        <v>37</v>
      </c>
      <c r="I10" s="6">
        <v>40000</v>
      </c>
      <c r="J10" s="9" t="s">
        <v>15</v>
      </c>
      <c r="K10" s="13"/>
      <c r="M10" s="13"/>
      <c r="N10" s="1" t="s">
        <v>35</v>
      </c>
      <c r="O10" s="6">
        <v>150000</v>
      </c>
      <c r="P10" s="9" t="s">
        <v>15</v>
      </c>
      <c r="Q10" s="13"/>
    </row>
    <row r="11" spans="1:17" x14ac:dyDescent="0.25">
      <c r="A11" s="13"/>
      <c r="B11" s="1" t="s">
        <v>31</v>
      </c>
      <c r="C11" s="15"/>
      <c r="D11" s="9" t="s">
        <v>14</v>
      </c>
      <c r="E11" s="13"/>
      <c r="G11" s="13"/>
      <c r="H11" s="1" t="s">
        <v>35</v>
      </c>
      <c r="I11" s="6">
        <v>214000</v>
      </c>
      <c r="J11" s="9" t="s">
        <v>15</v>
      </c>
      <c r="K11" s="13"/>
      <c r="M11" s="13"/>
      <c r="N11" s="1" t="s">
        <v>39</v>
      </c>
      <c r="O11" s="6">
        <v>240000</v>
      </c>
      <c r="P11" s="9" t="s">
        <v>14</v>
      </c>
      <c r="Q11" s="13"/>
    </row>
    <row r="12" spans="1:17" x14ac:dyDescent="0.25">
      <c r="A12" s="13"/>
      <c r="B12" s="1" t="s">
        <v>30</v>
      </c>
      <c r="C12" s="6"/>
      <c r="D12" s="9" t="s">
        <v>15</v>
      </c>
      <c r="E12" s="13"/>
      <c r="G12" s="13"/>
      <c r="H12" s="1" t="s">
        <v>10</v>
      </c>
      <c r="I12" s="6"/>
      <c r="J12" s="9" t="s">
        <v>15</v>
      </c>
      <c r="K12" s="13"/>
      <c r="M12" s="13"/>
      <c r="N12" s="1" t="s">
        <v>40</v>
      </c>
      <c r="O12" s="6">
        <v>50000</v>
      </c>
      <c r="P12" s="9" t="s">
        <v>14</v>
      </c>
      <c r="Q12" s="13"/>
    </row>
    <row r="13" spans="1:17" x14ac:dyDescent="0.25">
      <c r="A13" s="13"/>
      <c r="B13" s="1" t="s">
        <v>32</v>
      </c>
      <c r="C13" s="6">
        <v>900000</v>
      </c>
      <c r="D13" s="9" t="s">
        <v>14</v>
      </c>
      <c r="E13" s="13"/>
      <c r="G13" s="13"/>
      <c r="H13" s="1" t="s">
        <v>11</v>
      </c>
      <c r="I13" s="6"/>
      <c r="J13" s="9" t="s">
        <v>15</v>
      </c>
      <c r="K13" s="13"/>
      <c r="M13" s="13"/>
      <c r="N13" s="1" t="s">
        <v>41</v>
      </c>
      <c r="O13" s="6">
        <v>42900</v>
      </c>
      <c r="P13" s="9" t="s">
        <v>14</v>
      </c>
      <c r="Q13" s="13"/>
    </row>
    <row r="14" spans="1:17" x14ac:dyDescent="0.25">
      <c r="A14" s="13"/>
      <c r="B14" s="1"/>
      <c r="C14" s="6"/>
      <c r="D14" s="9" t="s">
        <v>15</v>
      </c>
      <c r="E14" s="13"/>
      <c r="G14" s="13"/>
      <c r="H14" s="1" t="s">
        <v>12</v>
      </c>
      <c r="I14" s="6"/>
      <c r="J14" s="9" t="s">
        <v>15</v>
      </c>
      <c r="K14" s="13"/>
      <c r="M14" s="13"/>
      <c r="N14" s="1" t="s">
        <v>42</v>
      </c>
      <c r="O14" s="6">
        <v>30000</v>
      </c>
      <c r="P14" s="9" t="s">
        <v>15</v>
      </c>
      <c r="Q14" s="13"/>
    </row>
    <row r="15" spans="1:17" x14ac:dyDescent="0.25">
      <c r="A15" s="13"/>
      <c r="B15" s="1"/>
      <c r="C15" s="6"/>
      <c r="D15" s="9" t="s">
        <v>15</v>
      </c>
      <c r="E15" s="13"/>
      <c r="G15" s="13"/>
      <c r="H15" s="1" t="s">
        <v>16</v>
      </c>
      <c r="I15" s="6"/>
      <c r="J15" s="9" t="s">
        <v>15</v>
      </c>
      <c r="K15" s="13"/>
      <c r="M15" s="13"/>
      <c r="N15" s="1" t="s">
        <v>43</v>
      </c>
      <c r="O15" s="6">
        <v>21180</v>
      </c>
      <c r="P15" s="9" t="s">
        <v>14</v>
      </c>
      <c r="Q15" s="13"/>
    </row>
    <row r="16" spans="1:17" x14ac:dyDescent="0.25">
      <c r="A16" s="13"/>
      <c r="B16" s="1"/>
      <c r="C16" s="6"/>
      <c r="D16" s="9" t="s">
        <v>15</v>
      </c>
      <c r="E16" s="13"/>
      <c r="G16" s="13"/>
      <c r="H16" s="1" t="s">
        <v>13</v>
      </c>
      <c r="I16" s="6"/>
      <c r="J16" s="9" t="s">
        <v>15</v>
      </c>
      <c r="K16" s="13"/>
      <c r="M16" s="13"/>
      <c r="N16" s="1" t="s">
        <v>13</v>
      </c>
      <c r="O16" s="6"/>
      <c r="P16" s="9" t="s">
        <v>15</v>
      </c>
      <c r="Q16" s="13"/>
    </row>
    <row r="17" spans="1:17" x14ac:dyDescent="0.25">
      <c r="A17" s="13"/>
      <c r="B17" s="10" t="s">
        <v>3</v>
      </c>
      <c r="C17" s="8">
        <f>SUM(C4:C16)</f>
        <v>2831437</v>
      </c>
      <c r="D17" s="11">
        <f>SUMIF($D$4:$D$16,"",$C$4:$C$16)</f>
        <v>0</v>
      </c>
      <c r="E17" s="13"/>
      <c r="G17" s="13"/>
      <c r="H17" s="10" t="s">
        <v>3</v>
      </c>
      <c r="I17" s="8">
        <f>SUM(I4:I16)</f>
        <v>495997</v>
      </c>
      <c r="J17" s="11">
        <f>SUMIF($J$4:$J$16,"",$I$4:$I$16)</f>
        <v>0</v>
      </c>
      <c r="K17" s="13"/>
      <c r="M17" s="13"/>
      <c r="N17" s="10" t="s">
        <v>3</v>
      </c>
      <c r="O17" s="8">
        <f>SUM(O4:O16)</f>
        <v>812193</v>
      </c>
      <c r="P17" s="11">
        <f ca="1">SUMIF($P$4:$P$16,"",$O$4:$O$15)</f>
        <v>0</v>
      </c>
      <c r="Q17" s="12"/>
    </row>
    <row r="18" spans="1:17" x14ac:dyDescent="0.25">
      <c r="A18" s="13"/>
      <c r="B18" s="2" t="s">
        <v>0</v>
      </c>
      <c r="C18" s="3">
        <v>5000000</v>
      </c>
      <c r="D18" s="12"/>
      <c r="E18" s="13"/>
      <c r="G18" s="13"/>
      <c r="H18" s="2" t="s">
        <v>0</v>
      </c>
      <c r="I18" s="3">
        <v>730000</v>
      </c>
      <c r="J18" s="13"/>
      <c r="K18" s="13"/>
      <c r="M18" s="13"/>
      <c r="N18" s="2" t="s">
        <v>0</v>
      </c>
      <c r="O18" s="3">
        <v>1300000</v>
      </c>
      <c r="P18" s="13"/>
      <c r="Q18" s="13"/>
    </row>
    <row r="19" spans="1:17" x14ac:dyDescent="0.25">
      <c r="A19" s="13"/>
      <c r="B19" s="4" t="s">
        <v>1</v>
      </c>
      <c r="C19" s="5">
        <f>C18-C17</f>
        <v>2168563</v>
      </c>
      <c r="D19" s="13"/>
      <c r="E19" s="13"/>
      <c r="G19" s="13"/>
      <c r="H19" s="4" t="s">
        <v>1</v>
      </c>
      <c r="I19" s="5">
        <f>I18-I17</f>
        <v>234003</v>
      </c>
      <c r="J19" s="13"/>
      <c r="K19" s="13"/>
      <c r="M19" s="13"/>
      <c r="N19" s="4" t="s">
        <v>1</v>
      </c>
      <c r="O19" s="5">
        <f>O18-O17</f>
        <v>487807</v>
      </c>
      <c r="P19" s="13"/>
      <c r="Q19" s="13"/>
    </row>
    <row r="20" spans="1:17" x14ac:dyDescent="0.25">
      <c r="A20" s="13"/>
      <c r="B20" s="13"/>
      <c r="C20" s="13"/>
      <c r="D20" s="13"/>
      <c r="E20" s="13"/>
      <c r="G20" s="13"/>
      <c r="H20" s="13"/>
      <c r="I20" s="13"/>
      <c r="J20" s="13"/>
      <c r="K20" s="13"/>
      <c r="M20" s="13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G21" s="13"/>
      <c r="H21" s="13"/>
      <c r="I21" s="13"/>
      <c r="J21" s="13"/>
      <c r="K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G22" s="13"/>
      <c r="H22" s="13"/>
      <c r="I22" s="13"/>
      <c r="J22" s="13"/>
      <c r="K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G23" s="13"/>
      <c r="H23" s="13"/>
      <c r="I23" s="13"/>
      <c r="J23" s="13"/>
      <c r="K23" s="13"/>
      <c r="M23" s="13"/>
      <c r="N23" s="13"/>
      <c r="O23" s="13"/>
      <c r="P23" s="13"/>
      <c r="Q23" s="13"/>
    </row>
    <row r="25" spans="1:17" x14ac:dyDescent="0.25">
      <c r="A25" s="13"/>
      <c r="B25" s="13"/>
      <c r="C25" s="13"/>
      <c r="D25" s="13"/>
      <c r="E25" s="13"/>
      <c r="G25" s="13"/>
      <c r="H25" s="13"/>
      <c r="I25" s="13"/>
      <c r="J25" s="13"/>
      <c r="K25" s="13"/>
      <c r="M25" s="13"/>
      <c r="N25" s="13"/>
      <c r="O25" s="13"/>
      <c r="P25" s="13"/>
      <c r="Q25" s="13"/>
    </row>
    <row r="26" spans="1:17" x14ac:dyDescent="0.25">
      <c r="A26" s="13"/>
      <c r="B26" s="38" t="s">
        <v>7</v>
      </c>
      <c r="C26" s="39"/>
      <c r="D26" s="7" t="s">
        <v>2</v>
      </c>
      <c r="E26" s="13"/>
      <c r="G26" s="13"/>
      <c r="H26" s="38" t="s">
        <v>8</v>
      </c>
      <c r="I26" s="39"/>
      <c r="J26" s="7" t="s">
        <v>2</v>
      </c>
      <c r="K26" s="13"/>
      <c r="M26" s="13"/>
      <c r="N26" s="38" t="s">
        <v>9</v>
      </c>
      <c r="O26" s="39"/>
      <c r="P26" s="7" t="s">
        <v>2</v>
      </c>
      <c r="Q26" s="13"/>
    </row>
    <row r="27" spans="1:17" x14ac:dyDescent="0.25">
      <c r="A27" s="13"/>
      <c r="B27" s="1" t="s">
        <v>36</v>
      </c>
      <c r="C27" s="6">
        <v>123000</v>
      </c>
      <c r="D27" s="9" t="s">
        <v>14</v>
      </c>
      <c r="E27" s="13"/>
      <c r="G27" s="13"/>
      <c r="H27" s="1" t="s">
        <v>36</v>
      </c>
      <c r="I27" s="6">
        <v>123000</v>
      </c>
      <c r="J27" s="9" t="s">
        <v>14</v>
      </c>
      <c r="K27" s="13"/>
      <c r="M27" s="13"/>
      <c r="N27" s="1" t="s">
        <v>36</v>
      </c>
      <c r="O27" s="6">
        <v>123000</v>
      </c>
      <c r="P27" s="9" t="s">
        <v>14</v>
      </c>
      <c r="Q27" s="13"/>
    </row>
    <row r="28" spans="1:17" x14ac:dyDescent="0.25">
      <c r="A28" s="13"/>
      <c r="B28" s="1" t="s">
        <v>27</v>
      </c>
      <c r="C28" s="6">
        <v>70086</v>
      </c>
      <c r="D28" s="9" t="s">
        <v>14</v>
      </c>
      <c r="E28" s="13"/>
      <c r="G28" s="13"/>
      <c r="H28" s="1" t="s">
        <v>34</v>
      </c>
      <c r="I28" s="6">
        <v>11993</v>
      </c>
      <c r="J28" s="9" t="s">
        <v>14</v>
      </c>
      <c r="K28" s="13"/>
      <c r="M28" s="13"/>
      <c r="N28" s="1" t="s">
        <v>58</v>
      </c>
      <c r="O28" s="6">
        <v>47000</v>
      </c>
      <c r="P28" s="9" t="s">
        <v>14</v>
      </c>
      <c r="Q28" s="13"/>
    </row>
    <row r="29" spans="1:17" x14ac:dyDescent="0.25">
      <c r="A29" s="13"/>
      <c r="B29" s="1" t="s">
        <v>18</v>
      </c>
      <c r="C29" s="6">
        <v>35484</v>
      </c>
      <c r="D29" s="9" t="s">
        <v>14</v>
      </c>
      <c r="E29" s="13"/>
      <c r="G29" s="13"/>
      <c r="H29" s="1" t="s">
        <v>48</v>
      </c>
      <c r="I29" s="6">
        <v>47000</v>
      </c>
      <c r="J29" s="9" t="s">
        <v>14</v>
      </c>
      <c r="K29" s="13"/>
      <c r="M29" s="13"/>
      <c r="N29" s="1" t="s">
        <v>27</v>
      </c>
      <c r="O29" s="6">
        <v>85830</v>
      </c>
      <c r="P29" s="9" t="s">
        <v>14</v>
      </c>
      <c r="Q29" s="13"/>
    </row>
    <row r="30" spans="1:17" x14ac:dyDescent="0.25">
      <c r="A30" s="13"/>
      <c r="B30" s="1" t="s">
        <v>19</v>
      </c>
      <c r="C30" s="6">
        <v>20000</v>
      </c>
      <c r="D30" s="9" t="s">
        <v>14</v>
      </c>
      <c r="E30" s="13"/>
      <c r="G30" s="13"/>
      <c r="H30" s="1" t="s">
        <v>56</v>
      </c>
      <c r="I30" s="6">
        <v>150000</v>
      </c>
      <c r="J30" s="9" t="s">
        <v>14</v>
      </c>
      <c r="K30" s="13"/>
      <c r="M30" s="13"/>
      <c r="N30" s="1" t="s">
        <v>19</v>
      </c>
      <c r="O30" s="6">
        <v>0</v>
      </c>
      <c r="P30" s="9" t="s">
        <v>14</v>
      </c>
      <c r="Q30" s="13"/>
    </row>
    <row r="31" spans="1:17" x14ac:dyDescent="0.25">
      <c r="A31" s="13"/>
      <c r="B31" s="1" t="s">
        <v>34</v>
      </c>
      <c r="C31" s="6">
        <v>11993</v>
      </c>
      <c r="D31" s="9" t="s">
        <v>14</v>
      </c>
      <c r="E31" s="13"/>
      <c r="G31" s="13"/>
      <c r="H31" s="1" t="s">
        <v>27</v>
      </c>
      <c r="I31" s="6">
        <v>52030</v>
      </c>
      <c r="J31" s="9" t="s">
        <v>14</v>
      </c>
      <c r="K31" s="13"/>
      <c r="M31" s="13"/>
      <c r="N31" s="1" t="s">
        <v>18</v>
      </c>
      <c r="O31" s="6">
        <v>81362</v>
      </c>
      <c r="P31" s="9" t="s">
        <v>14</v>
      </c>
      <c r="Q31" s="13"/>
    </row>
    <row r="32" spans="1:17" x14ac:dyDescent="0.25">
      <c r="A32" s="13"/>
      <c r="B32" s="1" t="s">
        <v>35</v>
      </c>
      <c r="C32" s="6">
        <v>149750</v>
      </c>
      <c r="D32" s="9" t="s">
        <v>14</v>
      </c>
      <c r="E32" s="13"/>
      <c r="G32" s="13"/>
      <c r="H32" s="1" t="s">
        <v>19</v>
      </c>
      <c r="I32" s="6">
        <v>2350</v>
      </c>
      <c r="J32" s="9" t="s">
        <v>14</v>
      </c>
      <c r="K32" s="13"/>
      <c r="M32" s="13"/>
      <c r="N32" s="1" t="s">
        <v>39</v>
      </c>
      <c r="O32" s="6">
        <v>240000</v>
      </c>
      <c r="P32" s="9" t="s">
        <v>14</v>
      </c>
      <c r="Q32" s="13"/>
    </row>
    <row r="33" spans="1:17" x14ac:dyDescent="0.25">
      <c r="A33" s="13"/>
      <c r="B33" s="1" t="s">
        <v>37</v>
      </c>
      <c r="C33" s="6">
        <v>30000</v>
      </c>
      <c r="D33" s="9" t="s">
        <v>14</v>
      </c>
      <c r="E33" s="13"/>
      <c r="G33" s="13"/>
      <c r="H33" s="1" t="s">
        <v>52</v>
      </c>
      <c r="I33" s="6">
        <v>50324</v>
      </c>
      <c r="J33" s="9" t="s">
        <v>14</v>
      </c>
      <c r="K33" s="13"/>
      <c r="M33" s="13"/>
      <c r="N33" s="1" t="s">
        <v>53</v>
      </c>
      <c r="O33" s="6">
        <v>50000</v>
      </c>
      <c r="P33" s="9" t="s">
        <v>14</v>
      </c>
      <c r="Q33" s="13"/>
    </row>
    <row r="34" spans="1:17" x14ac:dyDescent="0.25">
      <c r="A34" s="13"/>
      <c r="B34" s="1" t="s">
        <v>39</v>
      </c>
      <c r="C34" s="6">
        <v>240000</v>
      </c>
      <c r="D34" s="9" t="s">
        <v>14</v>
      </c>
      <c r="E34" s="13"/>
      <c r="G34" s="13"/>
      <c r="H34" s="1" t="s">
        <v>53</v>
      </c>
      <c r="I34" s="6">
        <v>40000</v>
      </c>
      <c r="J34" s="9" t="s">
        <v>14</v>
      </c>
      <c r="K34" s="13"/>
      <c r="M34" s="13"/>
      <c r="N34" s="1" t="s">
        <v>34</v>
      </c>
      <c r="O34" s="6">
        <v>11993</v>
      </c>
      <c r="P34" s="9" t="s">
        <v>14</v>
      </c>
      <c r="Q34" s="13"/>
    </row>
    <row r="35" spans="1:17" x14ac:dyDescent="0.25">
      <c r="A35" s="13"/>
      <c r="B35" s="1" t="s">
        <v>44</v>
      </c>
      <c r="C35" s="6">
        <v>60000</v>
      </c>
      <c r="D35" s="9" t="s">
        <v>14</v>
      </c>
      <c r="E35" s="13"/>
      <c r="G35" s="13"/>
      <c r="H35" s="1" t="s">
        <v>18</v>
      </c>
      <c r="I35" s="6">
        <v>50000</v>
      </c>
      <c r="J35" s="9" t="s">
        <v>14</v>
      </c>
      <c r="K35" s="13"/>
      <c r="M35" s="13"/>
      <c r="N35" s="1" t="s">
        <v>59</v>
      </c>
      <c r="O35" s="6">
        <v>224500</v>
      </c>
      <c r="P35" s="9" t="s">
        <v>14</v>
      </c>
      <c r="Q35" s="13"/>
    </row>
    <row r="36" spans="1:17" x14ac:dyDescent="0.25">
      <c r="A36" s="13"/>
      <c r="B36" s="1" t="s">
        <v>45</v>
      </c>
      <c r="C36" s="6">
        <v>20000</v>
      </c>
      <c r="D36" s="9" t="s">
        <v>14</v>
      </c>
      <c r="E36" s="13"/>
      <c r="G36" s="13"/>
      <c r="H36" s="1" t="s">
        <v>54</v>
      </c>
      <c r="I36" s="6">
        <v>40000</v>
      </c>
      <c r="J36" s="9" t="s">
        <v>14</v>
      </c>
      <c r="K36" s="13"/>
      <c r="M36" s="13"/>
      <c r="N36" s="1"/>
      <c r="O36" s="6"/>
      <c r="P36" s="9" t="s">
        <v>15</v>
      </c>
      <c r="Q36" s="13"/>
    </row>
    <row r="37" spans="1:17" x14ac:dyDescent="0.25">
      <c r="A37" s="13"/>
      <c r="B37" s="1" t="s">
        <v>46</v>
      </c>
      <c r="C37" s="6">
        <v>22500</v>
      </c>
      <c r="D37" s="9" t="s">
        <v>14</v>
      </c>
      <c r="E37" s="13"/>
      <c r="G37" s="13"/>
      <c r="H37" s="1" t="s">
        <v>17</v>
      </c>
      <c r="I37" s="6">
        <v>50000</v>
      </c>
      <c r="J37" s="9" t="s">
        <v>14</v>
      </c>
      <c r="K37" s="13"/>
      <c r="M37" s="13"/>
      <c r="N37" s="1"/>
      <c r="O37" s="6"/>
      <c r="P37" s="9" t="s">
        <v>15</v>
      </c>
      <c r="Q37" s="13"/>
    </row>
    <row r="38" spans="1:17" x14ac:dyDescent="0.25">
      <c r="A38" s="13"/>
      <c r="B38" s="1" t="s">
        <v>47</v>
      </c>
      <c r="C38" s="6">
        <v>15000</v>
      </c>
      <c r="D38" s="9" t="s">
        <v>14</v>
      </c>
      <c r="E38" s="13"/>
      <c r="G38" s="13"/>
      <c r="H38" s="1" t="s">
        <v>57</v>
      </c>
      <c r="I38" s="6">
        <v>250000</v>
      </c>
      <c r="J38" s="9" t="s">
        <v>14</v>
      </c>
      <c r="K38" s="13"/>
      <c r="M38" s="13"/>
      <c r="N38" s="1"/>
      <c r="O38" s="6"/>
      <c r="P38" s="9" t="s">
        <v>15</v>
      </c>
      <c r="Q38" s="13"/>
    </row>
    <row r="39" spans="1:17" x14ac:dyDescent="0.25">
      <c r="A39" s="13"/>
      <c r="B39" s="1" t="s">
        <v>49</v>
      </c>
      <c r="C39" s="6">
        <v>43000</v>
      </c>
      <c r="D39" s="9" t="s">
        <v>14</v>
      </c>
      <c r="E39" s="13"/>
      <c r="G39" s="13"/>
      <c r="H39" s="1" t="s">
        <v>46</v>
      </c>
      <c r="I39" s="6">
        <v>55000</v>
      </c>
      <c r="J39" s="9" t="s">
        <v>14</v>
      </c>
      <c r="K39" s="13"/>
      <c r="M39" s="13"/>
      <c r="N39" s="1"/>
      <c r="O39" s="6"/>
      <c r="P39" s="9" t="s">
        <v>15</v>
      </c>
      <c r="Q39" s="13"/>
    </row>
    <row r="40" spans="1:17" x14ac:dyDescent="0.25">
      <c r="A40" s="13"/>
      <c r="B40" s="1" t="s">
        <v>50</v>
      </c>
      <c r="C40" s="6">
        <v>86000</v>
      </c>
      <c r="D40" s="9" t="s">
        <v>14</v>
      </c>
      <c r="E40" s="13"/>
      <c r="G40" s="13"/>
      <c r="H40" s="1" t="s">
        <v>55</v>
      </c>
      <c r="I40" s="6">
        <v>28680</v>
      </c>
      <c r="J40" s="9" t="s">
        <v>14</v>
      </c>
      <c r="K40" s="13"/>
      <c r="M40" s="13"/>
      <c r="N40" s="1"/>
      <c r="O40" s="6"/>
      <c r="P40" s="9" t="s">
        <v>15</v>
      </c>
      <c r="Q40" s="13"/>
    </row>
    <row r="41" spans="1:17" x14ac:dyDescent="0.25">
      <c r="A41" s="13"/>
      <c r="B41" s="1"/>
      <c r="C41" s="6"/>
      <c r="D41" s="9" t="s">
        <v>15</v>
      </c>
      <c r="E41" s="13"/>
      <c r="G41" s="13"/>
      <c r="H41" s="1" t="s">
        <v>51</v>
      </c>
      <c r="I41" s="6">
        <v>6300</v>
      </c>
      <c r="J41" s="9" t="s">
        <v>14</v>
      </c>
      <c r="K41" s="13"/>
      <c r="M41" s="13"/>
      <c r="N41" s="1"/>
      <c r="O41" s="6"/>
      <c r="P41" s="9" t="s">
        <v>15</v>
      </c>
      <c r="Q41" s="13"/>
    </row>
    <row r="42" spans="1:17" x14ac:dyDescent="0.25">
      <c r="A42" s="13"/>
      <c r="B42" s="10" t="s">
        <v>3</v>
      </c>
      <c r="C42" s="8">
        <f>SUM(C27:C40)</f>
        <v>926813</v>
      </c>
      <c r="D42" s="11">
        <f ca="1">SUMIF($D$27:$D$41,"",$C$27:$C$40)</f>
        <v>0</v>
      </c>
      <c r="E42" s="13"/>
      <c r="G42" s="13"/>
      <c r="H42" s="10" t="s">
        <v>3</v>
      </c>
      <c r="I42" s="8">
        <f>SUM(I27:I41)</f>
        <v>956677</v>
      </c>
      <c r="J42" s="14">
        <f>SUMIF($J$27:$J$41,"",$I$27:$I$41)</f>
        <v>0</v>
      </c>
      <c r="K42" s="13"/>
      <c r="M42" s="13"/>
      <c r="N42" s="10" t="s">
        <v>3</v>
      </c>
      <c r="O42" s="8">
        <f>SUM(O27:O41)</f>
        <v>863685</v>
      </c>
      <c r="P42" s="14">
        <f>SUMIF($P$27:$P$41,"",$O$27:$O$41)</f>
        <v>0</v>
      </c>
      <c r="Q42" s="13"/>
    </row>
    <row r="43" spans="1:17" x14ac:dyDescent="0.25">
      <c r="A43" s="13"/>
      <c r="B43" s="2" t="s">
        <v>0</v>
      </c>
      <c r="C43" s="3">
        <v>1197000</v>
      </c>
      <c r="D43" s="13"/>
      <c r="E43" s="13"/>
      <c r="G43" s="13"/>
      <c r="H43" s="2" t="s">
        <v>0</v>
      </c>
      <c r="I43" s="3">
        <v>1224647</v>
      </c>
      <c r="J43" s="13"/>
      <c r="K43" s="13"/>
      <c r="M43" s="13"/>
      <c r="N43" s="2" t="s">
        <v>0</v>
      </c>
      <c r="O43" s="3">
        <v>1200000</v>
      </c>
      <c r="P43" s="13"/>
      <c r="Q43" s="13"/>
    </row>
    <row r="44" spans="1:17" x14ac:dyDescent="0.25">
      <c r="A44" s="13"/>
      <c r="B44" s="4" t="s">
        <v>1</v>
      </c>
      <c r="C44" s="5">
        <f>C43-C42</f>
        <v>270187</v>
      </c>
      <c r="D44" s="13"/>
      <c r="E44" s="13"/>
      <c r="G44" s="13"/>
      <c r="H44" s="4" t="s">
        <v>1</v>
      </c>
      <c r="I44" s="5">
        <f>I43-I42</f>
        <v>267970</v>
      </c>
      <c r="J44" s="13"/>
      <c r="K44" s="13"/>
      <c r="M44" s="13"/>
      <c r="N44" s="4" t="s">
        <v>1</v>
      </c>
      <c r="O44" s="5">
        <f>O43-O42</f>
        <v>336315</v>
      </c>
      <c r="P44" s="13"/>
      <c r="Q44" s="13"/>
    </row>
    <row r="45" spans="1:17" x14ac:dyDescent="0.25">
      <c r="A45" s="13"/>
      <c r="B45" s="13"/>
      <c r="C45" s="13"/>
      <c r="D45" s="13"/>
      <c r="E45" s="13"/>
      <c r="G45" s="13"/>
      <c r="H45" s="13"/>
      <c r="I45" s="13"/>
      <c r="J45" s="13"/>
      <c r="K45" s="13"/>
      <c r="M45" s="13"/>
      <c r="N45" s="13"/>
      <c r="O45" s="13"/>
      <c r="P45" s="13"/>
      <c r="Q45" s="13"/>
    </row>
    <row r="47" spans="1:17" x14ac:dyDescent="0.25">
      <c r="A47" s="13"/>
      <c r="B47" s="13"/>
      <c r="C47" s="13"/>
      <c r="D47" s="13"/>
      <c r="E47" s="13"/>
      <c r="G47" s="13"/>
      <c r="H47" s="13"/>
      <c r="I47" s="13"/>
      <c r="J47" s="13"/>
      <c r="K47" s="13"/>
      <c r="M47" s="13"/>
      <c r="N47" s="13"/>
      <c r="O47" s="13"/>
      <c r="P47" s="13"/>
      <c r="Q47" s="13"/>
    </row>
    <row r="48" spans="1:17" x14ac:dyDescent="0.25">
      <c r="A48" s="13"/>
      <c r="B48" s="38" t="s">
        <v>20</v>
      </c>
      <c r="C48" s="39"/>
      <c r="D48" s="7" t="s">
        <v>2</v>
      </c>
      <c r="E48" s="13"/>
      <c r="G48" s="13"/>
      <c r="H48" s="38" t="s">
        <v>21</v>
      </c>
      <c r="I48" s="39"/>
      <c r="J48" s="7" t="s">
        <v>2</v>
      </c>
      <c r="K48" s="13"/>
      <c r="M48" s="13"/>
      <c r="N48" s="38" t="s">
        <v>22</v>
      </c>
      <c r="O48" s="39"/>
      <c r="P48" s="7" t="s">
        <v>2</v>
      </c>
      <c r="Q48" s="13"/>
    </row>
    <row r="49" spans="1:17" x14ac:dyDescent="0.25">
      <c r="A49" s="13"/>
      <c r="B49" s="1" t="s">
        <v>36</v>
      </c>
      <c r="C49" s="6">
        <v>123000</v>
      </c>
      <c r="D49" s="9" t="s">
        <v>15</v>
      </c>
      <c r="E49" s="13"/>
      <c r="G49" s="13"/>
      <c r="H49" s="1" t="s">
        <v>36</v>
      </c>
      <c r="I49" s="6">
        <v>123000</v>
      </c>
      <c r="J49" s="9" t="s">
        <v>14</v>
      </c>
      <c r="K49" s="13"/>
      <c r="M49" s="13"/>
      <c r="N49" s="1" t="s">
        <v>80</v>
      </c>
      <c r="O49" s="6">
        <v>124000</v>
      </c>
      <c r="P49" s="9" t="s">
        <v>14</v>
      </c>
      <c r="Q49" s="24"/>
    </row>
    <row r="50" spans="1:17" x14ac:dyDescent="0.25">
      <c r="A50" s="13"/>
      <c r="B50" s="1" t="s">
        <v>19</v>
      </c>
      <c r="C50" s="6"/>
      <c r="D50" s="9" t="s">
        <v>15</v>
      </c>
      <c r="E50" s="13"/>
      <c r="G50" s="13"/>
      <c r="H50" s="1" t="s">
        <v>27</v>
      </c>
      <c r="I50" s="6">
        <v>127489</v>
      </c>
      <c r="J50" s="9" t="s">
        <v>14</v>
      </c>
      <c r="K50" s="13"/>
      <c r="M50" s="13"/>
      <c r="N50" s="1" t="s">
        <v>34</v>
      </c>
      <c r="O50" s="6">
        <v>26690</v>
      </c>
      <c r="P50" s="9" t="s">
        <v>14</v>
      </c>
      <c r="Q50" s="24"/>
    </row>
    <row r="51" spans="1:17" x14ac:dyDescent="0.25">
      <c r="A51" s="13"/>
      <c r="B51" s="1" t="s">
        <v>59</v>
      </c>
      <c r="C51" s="6"/>
      <c r="D51" s="9" t="s">
        <v>15</v>
      </c>
      <c r="E51" s="13"/>
      <c r="G51" s="13"/>
      <c r="H51" s="1" t="s">
        <v>18</v>
      </c>
      <c r="I51" s="6">
        <v>46087</v>
      </c>
      <c r="J51" s="9" t="s">
        <v>14</v>
      </c>
      <c r="K51" s="13"/>
      <c r="M51" s="13"/>
      <c r="N51" s="1" t="s">
        <v>74</v>
      </c>
      <c r="O51" s="6">
        <v>340000</v>
      </c>
      <c r="P51" s="9" t="s">
        <v>14</v>
      </c>
      <c r="Q51" s="24"/>
    </row>
    <row r="52" spans="1:17" x14ac:dyDescent="0.25">
      <c r="A52" s="13"/>
      <c r="B52" s="1" t="s">
        <v>60</v>
      </c>
      <c r="C52" s="6">
        <v>240000</v>
      </c>
      <c r="D52" s="9" t="s">
        <v>15</v>
      </c>
      <c r="E52" s="13"/>
      <c r="G52" s="13"/>
      <c r="H52" s="1" t="s">
        <v>34</v>
      </c>
      <c r="I52" s="6">
        <v>23683</v>
      </c>
      <c r="J52" s="9" t="s">
        <v>14</v>
      </c>
      <c r="K52" s="13"/>
      <c r="M52" s="13"/>
      <c r="N52" s="1" t="s">
        <v>75</v>
      </c>
      <c r="O52" s="6">
        <v>200000</v>
      </c>
      <c r="P52" s="9" t="s">
        <v>15</v>
      </c>
      <c r="Q52" s="24"/>
    </row>
    <row r="53" spans="1:17" x14ac:dyDescent="0.25">
      <c r="A53" s="13"/>
      <c r="B53" s="1" t="s">
        <v>27</v>
      </c>
      <c r="C53" s="6"/>
      <c r="D53" s="9" t="s">
        <v>15</v>
      </c>
      <c r="E53" s="13"/>
      <c r="G53" s="13"/>
      <c r="H53" s="1" t="s">
        <v>53</v>
      </c>
      <c r="I53" s="6">
        <v>30000</v>
      </c>
      <c r="J53" s="9" t="s">
        <v>14</v>
      </c>
      <c r="K53" s="13"/>
      <c r="M53" s="13"/>
      <c r="N53" s="1" t="s">
        <v>27</v>
      </c>
      <c r="O53" s="6">
        <v>100000</v>
      </c>
      <c r="P53" s="9" t="s">
        <v>14</v>
      </c>
      <c r="Q53" s="24"/>
    </row>
    <row r="54" spans="1:17" x14ac:dyDescent="0.25">
      <c r="A54" s="13"/>
      <c r="B54" s="1" t="s">
        <v>18</v>
      </c>
      <c r="C54" s="6"/>
      <c r="D54" s="9" t="s">
        <v>15</v>
      </c>
      <c r="E54" s="13"/>
      <c r="G54" s="13"/>
      <c r="H54" s="1" t="s">
        <v>61</v>
      </c>
      <c r="I54" s="6">
        <v>15000</v>
      </c>
      <c r="J54" s="9" t="s">
        <v>14</v>
      </c>
      <c r="K54" s="13"/>
      <c r="M54" s="13"/>
      <c r="N54" s="1" t="s">
        <v>18</v>
      </c>
      <c r="O54" s="6">
        <v>50000</v>
      </c>
      <c r="P54" s="9" t="s">
        <v>14</v>
      </c>
      <c r="Q54" s="24"/>
    </row>
    <row r="55" spans="1:17" x14ac:dyDescent="0.25">
      <c r="A55" s="13"/>
      <c r="B55" s="1" t="s">
        <v>53</v>
      </c>
      <c r="C55" s="6"/>
      <c r="D55" s="9" t="s">
        <v>15</v>
      </c>
      <c r="E55" s="13"/>
      <c r="G55" s="13"/>
      <c r="H55" s="1" t="s">
        <v>62</v>
      </c>
      <c r="I55" s="6">
        <v>20000</v>
      </c>
      <c r="J55" s="9" t="s">
        <v>14</v>
      </c>
      <c r="K55" s="13"/>
      <c r="M55" s="13"/>
      <c r="N55" s="1" t="s">
        <v>81</v>
      </c>
      <c r="O55" s="6">
        <v>47017</v>
      </c>
      <c r="P55" s="9" t="s">
        <v>14</v>
      </c>
      <c r="Q55" s="24"/>
    </row>
    <row r="56" spans="1:17" x14ac:dyDescent="0.25">
      <c r="A56" s="13"/>
      <c r="B56" s="1" t="s">
        <v>34</v>
      </c>
      <c r="C56" s="6"/>
      <c r="D56" s="9" t="s">
        <v>15</v>
      </c>
      <c r="E56" s="13"/>
      <c r="G56" s="13"/>
      <c r="H56" s="1" t="s">
        <v>46</v>
      </c>
      <c r="I56" s="6">
        <v>40000</v>
      </c>
      <c r="J56" s="9" t="s">
        <v>14</v>
      </c>
      <c r="K56" s="13"/>
      <c r="M56" s="13"/>
      <c r="N56" s="1"/>
      <c r="O56" s="6"/>
      <c r="P56" s="9" t="s">
        <v>15</v>
      </c>
      <c r="Q56" s="24"/>
    </row>
    <row r="57" spans="1:17" x14ac:dyDescent="0.25">
      <c r="A57" s="13"/>
      <c r="B57" s="1"/>
      <c r="C57" s="6"/>
      <c r="D57" s="9" t="s">
        <v>15</v>
      </c>
      <c r="E57" s="13"/>
      <c r="G57" s="13"/>
      <c r="H57" s="1" t="s">
        <v>63</v>
      </c>
      <c r="I57" s="6">
        <v>10000</v>
      </c>
      <c r="J57" s="9" t="s">
        <v>14</v>
      </c>
      <c r="K57" s="13"/>
      <c r="M57" s="13"/>
      <c r="N57" s="1"/>
      <c r="O57" s="6"/>
      <c r="P57" s="9" t="s">
        <v>15</v>
      </c>
      <c r="Q57" s="24"/>
    </row>
    <row r="58" spans="1:17" x14ac:dyDescent="0.25">
      <c r="A58" s="13"/>
      <c r="B58" s="1"/>
      <c r="C58" s="6"/>
      <c r="D58" s="9" t="s">
        <v>15</v>
      </c>
      <c r="E58" s="13"/>
      <c r="G58" s="13"/>
      <c r="H58" s="1" t="s">
        <v>64</v>
      </c>
      <c r="I58" s="6">
        <v>50000</v>
      </c>
      <c r="J58" s="9" t="s">
        <v>14</v>
      </c>
      <c r="K58" s="13"/>
      <c r="M58" s="13"/>
      <c r="N58" s="1"/>
      <c r="O58" s="6"/>
      <c r="P58" s="9" t="s">
        <v>15</v>
      </c>
      <c r="Q58" s="24"/>
    </row>
    <row r="59" spans="1:17" x14ac:dyDescent="0.25">
      <c r="A59" s="13"/>
      <c r="B59" s="1"/>
      <c r="C59" s="6"/>
      <c r="D59" s="9" t="s">
        <v>15</v>
      </c>
      <c r="E59" s="13"/>
      <c r="G59" s="13"/>
      <c r="H59" s="1" t="s">
        <v>65</v>
      </c>
      <c r="I59" s="6">
        <v>15741</v>
      </c>
      <c r="J59" s="9" t="s">
        <v>15</v>
      </c>
      <c r="K59" s="13"/>
      <c r="M59" s="13"/>
      <c r="N59" s="1"/>
      <c r="O59" s="6"/>
      <c r="P59" s="9" t="s">
        <v>15</v>
      </c>
      <c r="Q59" s="13"/>
    </row>
    <row r="60" spans="1:17" x14ac:dyDescent="0.25">
      <c r="A60" s="13"/>
      <c r="B60" s="1"/>
      <c r="C60" s="6"/>
      <c r="D60" s="9" t="s">
        <v>15</v>
      </c>
      <c r="E60" s="13"/>
      <c r="G60" s="13"/>
      <c r="H60" s="1"/>
      <c r="I60" s="6"/>
      <c r="J60" s="9" t="s">
        <v>15</v>
      </c>
      <c r="K60" s="13"/>
      <c r="M60" s="13"/>
      <c r="N60" s="1"/>
      <c r="O60" s="6"/>
      <c r="P60" s="9" t="s">
        <v>15</v>
      </c>
      <c r="Q60" s="13"/>
    </row>
    <row r="61" spans="1:17" x14ac:dyDescent="0.25">
      <c r="A61" s="13"/>
      <c r="B61" s="1"/>
      <c r="C61" s="6"/>
      <c r="D61" s="9" t="s">
        <v>15</v>
      </c>
      <c r="E61" s="13"/>
      <c r="G61" s="13"/>
      <c r="H61" s="1"/>
      <c r="I61" s="6"/>
      <c r="J61" s="9" t="s">
        <v>15</v>
      </c>
      <c r="K61" s="13"/>
      <c r="M61" s="13"/>
      <c r="N61" s="1"/>
      <c r="O61" s="6"/>
      <c r="P61" s="9" t="s">
        <v>15</v>
      </c>
      <c r="Q61" s="13"/>
    </row>
    <row r="62" spans="1:17" x14ac:dyDescent="0.25">
      <c r="A62" s="13"/>
      <c r="B62" s="1"/>
      <c r="C62" s="6"/>
      <c r="D62" s="9" t="s">
        <v>15</v>
      </c>
      <c r="E62" s="13"/>
      <c r="G62" s="13"/>
      <c r="H62" s="1"/>
      <c r="I62" s="6"/>
      <c r="J62" s="9" t="s">
        <v>15</v>
      </c>
      <c r="K62" s="13"/>
      <c r="M62" s="13"/>
      <c r="N62" s="1"/>
      <c r="O62" s="6"/>
      <c r="P62" s="9" t="s">
        <v>15</v>
      </c>
      <c r="Q62" s="13"/>
    </row>
    <row r="63" spans="1:17" x14ac:dyDescent="0.25">
      <c r="A63" s="13"/>
      <c r="B63" s="10" t="s">
        <v>3</v>
      </c>
      <c r="C63" s="8">
        <f>SUM(C49:C62)</f>
        <v>363000</v>
      </c>
      <c r="D63" s="11">
        <f ca="1">SUMIF($D$27:$D$41,"",$C$27:$C$40)</f>
        <v>0</v>
      </c>
      <c r="E63" s="13"/>
      <c r="G63" s="13"/>
      <c r="H63" s="10" t="s">
        <v>3</v>
      </c>
      <c r="I63" s="8">
        <f>SUM(I49:I62)</f>
        <v>501000</v>
      </c>
      <c r="J63" s="11">
        <f ca="1">SUMIF($D$27:$D$41,"",$C$27:$C$40)</f>
        <v>0</v>
      </c>
      <c r="K63" s="13"/>
      <c r="M63" s="13"/>
      <c r="N63" s="10" t="s">
        <v>3</v>
      </c>
      <c r="O63" s="8">
        <f>SUM(O49:O62)</f>
        <v>887707</v>
      </c>
      <c r="P63" s="11">
        <f ca="1">SUMIF($D$27:$D$41,"",$C$27:$C$40)</f>
        <v>0</v>
      </c>
      <c r="Q63" s="13"/>
    </row>
    <row r="64" spans="1:17" x14ac:dyDescent="0.25">
      <c r="A64" s="13"/>
      <c r="B64" s="2" t="s">
        <v>0</v>
      </c>
      <c r="C64" s="3">
        <v>1200000</v>
      </c>
      <c r="D64" s="13"/>
      <c r="E64" s="13"/>
      <c r="G64" s="13"/>
      <c r="H64" s="2" t="s">
        <v>0</v>
      </c>
      <c r="I64" s="3">
        <v>1200000</v>
      </c>
      <c r="J64" s="13"/>
      <c r="K64" s="13"/>
      <c r="M64" s="13"/>
      <c r="N64" s="2" t="s">
        <v>0</v>
      </c>
      <c r="O64" s="3">
        <v>1400000</v>
      </c>
      <c r="P64" s="13"/>
      <c r="Q64" s="13"/>
    </row>
    <row r="65" spans="1:17" x14ac:dyDescent="0.25">
      <c r="A65" s="13"/>
      <c r="B65" s="4" t="s">
        <v>1</v>
      </c>
      <c r="C65" s="5">
        <f>C64-C63</f>
        <v>837000</v>
      </c>
      <c r="D65" s="13"/>
      <c r="E65" s="13"/>
      <c r="H65" s="4" t="s">
        <v>1</v>
      </c>
      <c r="I65" s="5">
        <f>I64-I63</f>
        <v>699000</v>
      </c>
      <c r="J65" s="13"/>
      <c r="N65" s="4" t="s">
        <v>1</v>
      </c>
      <c r="O65" s="5">
        <f>O64-O63</f>
        <v>512293</v>
      </c>
      <c r="P65" s="13"/>
    </row>
    <row r="66" spans="1:17" x14ac:dyDescent="0.25">
      <c r="A66" s="13"/>
      <c r="B66" s="13"/>
      <c r="C66" s="13"/>
      <c r="D66" s="13"/>
      <c r="E66" s="13"/>
      <c r="G66" s="13"/>
      <c r="H66" s="13"/>
      <c r="I66" s="13"/>
      <c r="J66" s="13"/>
      <c r="K66" s="13"/>
      <c r="M66" s="13"/>
      <c r="N66" s="13"/>
      <c r="O66" s="13"/>
      <c r="P66" s="13"/>
      <c r="Q66" s="13"/>
    </row>
    <row r="67" spans="1:17" x14ac:dyDescent="0.25">
      <c r="A67" s="13"/>
      <c r="B67" s="38" t="s">
        <v>23</v>
      </c>
      <c r="C67" s="39"/>
      <c r="D67" s="7" t="s">
        <v>2</v>
      </c>
      <c r="E67" s="13"/>
      <c r="G67" s="13"/>
      <c r="H67" s="38" t="s">
        <v>24</v>
      </c>
      <c r="I67" s="39"/>
      <c r="J67" s="7" t="s">
        <v>2</v>
      </c>
      <c r="K67" s="13"/>
      <c r="M67" s="13"/>
      <c r="N67" s="38" t="s">
        <v>25</v>
      </c>
      <c r="O67" s="39"/>
      <c r="P67" s="7" t="s">
        <v>2</v>
      </c>
      <c r="Q67" s="13"/>
    </row>
    <row r="68" spans="1:17" x14ac:dyDescent="0.25">
      <c r="A68" s="13"/>
      <c r="B68" s="1" t="s">
        <v>80</v>
      </c>
      <c r="C68" s="6">
        <v>124000</v>
      </c>
      <c r="D68" s="9" t="s">
        <v>14</v>
      </c>
      <c r="E68" s="13"/>
      <c r="G68" s="13"/>
      <c r="H68" s="1" t="s">
        <v>64</v>
      </c>
      <c r="I68" s="6"/>
      <c r="J68" s="9" t="s">
        <v>15</v>
      </c>
      <c r="K68" s="13"/>
      <c r="M68" s="13"/>
      <c r="N68" s="1" t="s">
        <v>80</v>
      </c>
      <c r="O68" s="6">
        <v>125000</v>
      </c>
      <c r="P68" s="9" t="s">
        <v>15</v>
      </c>
      <c r="Q68" s="13"/>
    </row>
    <row r="69" spans="1:17" x14ac:dyDescent="0.25">
      <c r="A69" s="13"/>
      <c r="B69" s="1" t="s">
        <v>34</v>
      </c>
      <c r="C69" s="6">
        <v>26690</v>
      </c>
      <c r="D69" s="9" t="s">
        <v>14</v>
      </c>
      <c r="E69" s="13"/>
      <c r="G69" s="13"/>
      <c r="H69" s="1" t="s">
        <v>80</v>
      </c>
      <c r="I69" s="6">
        <v>125000</v>
      </c>
      <c r="J69" s="9" t="s">
        <v>14</v>
      </c>
      <c r="K69" s="13"/>
      <c r="M69" s="13"/>
      <c r="N69" s="1" t="s">
        <v>34</v>
      </c>
      <c r="O69" s="6">
        <v>26690</v>
      </c>
      <c r="P69" s="9" t="s">
        <v>14</v>
      </c>
      <c r="Q69" s="13"/>
    </row>
    <row r="70" spans="1:17" x14ac:dyDescent="0.25">
      <c r="A70" s="13"/>
      <c r="B70" s="1" t="s">
        <v>74</v>
      </c>
      <c r="C70" s="6">
        <v>380000</v>
      </c>
      <c r="D70" s="9" t="s">
        <v>14</v>
      </c>
      <c r="E70" s="13"/>
      <c r="G70" s="13"/>
      <c r="H70" s="1" t="s">
        <v>34</v>
      </c>
      <c r="I70" s="6">
        <v>26690</v>
      </c>
      <c r="J70" s="9" t="s">
        <v>14</v>
      </c>
      <c r="K70" s="13"/>
      <c r="M70" s="13"/>
      <c r="N70" s="1" t="s">
        <v>100</v>
      </c>
      <c r="O70" s="6">
        <v>340000</v>
      </c>
      <c r="P70" s="9" t="s">
        <v>14</v>
      </c>
      <c r="Q70" s="13"/>
    </row>
    <row r="71" spans="1:17" x14ac:dyDescent="0.25">
      <c r="A71" s="13"/>
      <c r="B71" s="1" t="s">
        <v>27</v>
      </c>
      <c r="C71" s="6">
        <v>19356</v>
      </c>
      <c r="D71" s="9" t="s">
        <v>14</v>
      </c>
      <c r="E71" s="13"/>
      <c r="G71" s="13"/>
      <c r="H71" s="1" t="s">
        <v>74</v>
      </c>
      <c r="I71" s="6">
        <v>380000</v>
      </c>
      <c r="J71" s="9" t="s">
        <v>14</v>
      </c>
      <c r="K71" s="13"/>
      <c r="M71" s="13"/>
      <c r="N71" s="1" t="s">
        <v>27</v>
      </c>
      <c r="O71" s="6">
        <v>150000</v>
      </c>
      <c r="P71" s="9" t="s">
        <v>14</v>
      </c>
      <c r="Q71" s="13"/>
    </row>
    <row r="72" spans="1:17" x14ac:dyDescent="0.25">
      <c r="A72" s="13"/>
      <c r="B72" s="1" t="s">
        <v>18</v>
      </c>
      <c r="C72" s="6">
        <v>50000</v>
      </c>
      <c r="D72" s="9" t="s">
        <v>14</v>
      </c>
      <c r="E72" s="13"/>
      <c r="G72" s="13"/>
      <c r="H72" s="1" t="s">
        <v>27</v>
      </c>
      <c r="I72" s="6">
        <v>152900</v>
      </c>
      <c r="J72" s="9" t="s">
        <v>14</v>
      </c>
      <c r="K72" s="13"/>
      <c r="M72" s="13"/>
      <c r="N72" s="1" t="s">
        <v>18</v>
      </c>
      <c r="O72" s="6">
        <v>56028</v>
      </c>
      <c r="P72" s="9" t="s">
        <v>14</v>
      </c>
      <c r="Q72" s="13"/>
    </row>
    <row r="73" spans="1:17" x14ac:dyDescent="0.25">
      <c r="A73" s="13"/>
      <c r="B73" s="1" t="s">
        <v>95</v>
      </c>
      <c r="C73" s="6"/>
      <c r="D73" s="9" t="s">
        <v>15</v>
      </c>
      <c r="E73" s="13"/>
      <c r="G73" s="13"/>
      <c r="H73" s="1" t="s">
        <v>18</v>
      </c>
      <c r="I73" s="6">
        <v>22000</v>
      </c>
      <c r="J73" s="9" t="s">
        <v>14</v>
      </c>
      <c r="K73" s="13"/>
      <c r="M73" s="13"/>
      <c r="N73" s="1" t="s">
        <v>82</v>
      </c>
      <c r="O73" s="6">
        <v>30000</v>
      </c>
      <c r="P73" s="9" t="s">
        <v>14</v>
      </c>
      <c r="Q73" s="13"/>
    </row>
    <row r="74" spans="1:17" x14ac:dyDescent="0.25">
      <c r="A74" s="13"/>
      <c r="B74" s="1" t="s">
        <v>53</v>
      </c>
      <c r="C74" s="6"/>
      <c r="D74" s="9" t="s">
        <v>15</v>
      </c>
      <c r="E74" s="13"/>
      <c r="G74" s="13"/>
      <c r="H74" s="1" t="s">
        <v>82</v>
      </c>
      <c r="I74" s="6">
        <v>24800</v>
      </c>
      <c r="J74" s="9" t="s">
        <v>14</v>
      </c>
      <c r="K74" s="13"/>
      <c r="M74" s="13"/>
      <c r="N74" s="1" t="s">
        <v>53</v>
      </c>
      <c r="O74" s="6">
        <v>17500</v>
      </c>
      <c r="P74" s="9" t="s">
        <v>14</v>
      </c>
      <c r="Q74" s="13"/>
    </row>
    <row r="75" spans="1:17" x14ac:dyDescent="0.25">
      <c r="A75" s="13"/>
      <c r="B75" s="1" t="s">
        <v>83</v>
      </c>
      <c r="C75" s="6">
        <v>3900</v>
      </c>
      <c r="D75" s="9" t="s">
        <v>14</v>
      </c>
      <c r="E75" s="13"/>
      <c r="G75" s="13"/>
      <c r="H75" s="1" t="s">
        <v>53</v>
      </c>
      <c r="I75" s="6">
        <v>20000</v>
      </c>
      <c r="J75" s="9" t="s">
        <v>14</v>
      </c>
      <c r="K75" s="13"/>
      <c r="M75" s="13"/>
      <c r="N75" s="1" t="s">
        <v>83</v>
      </c>
      <c r="O75" s="6">
        <v>7850</v>
      </c>
      <c r="P75" s="9" t="s">
        <v>14</v>
      </c>
      <c r="Q75" s="13"/>
    </row>
    <row r="76" spans="1:17" x14ac:dyDescent="0.25">
      <c r="A76" s="13"/>
      <c r="B76" s="1" t="s">
        <v>84</v>
      </c>
      <c r="C76" s="6">
        <v>6800</v>
      </c>
      <c r="D76" s="9" t="s">
        <v>14</v>
      </c>
      <c r="E76" s="13"/>
      <c r="G76" s="13"/>
      <c r="H76" s="1" t="s">
        <v>83</v>
      </c>
      <c r="I76" s="15">
        <v>7546</v>
      </c>
      <c r="J76" s="9" t="s">
        <v>14</v>
      </c>
      <c r="K76" s="13"/>
      <c r="M76" s="13"/>
      <c r="N76" s="1" t="s">
        <v>84</v>
      </c>
      <c r="O76" s="6">
        <v>800</v>
      </c>
      <c r="P76" s="9" t="s">
        <v>14</v>
      </c>
      <c r="Q76" s="13"/>
    </row>
    <row r="77" spans="1:17" x14ac:dyDescent="0.25">
      <c r="A77" s="13"/>
      <c r="B77" s="1" t="s">
        <v>64</v>
      </c>
      <c r="C77" s="6">
        <v>300000</v>
      </c>
      <c r="D77" s="9" t="s">
        <v>14</v>
      </c>
      <c r="E77" s="13"/>
      <c r="G77" s="13"/>
      <c r="H77" s="1" t="s">
        <v>84</v>
      </c>
      <c r="I77" s="6">
        <v>380</v>
      </c>
      <c r="J77" s="9" t="s">
        <v>14</v>
      </c>
      <c r="K77" s="13"/>
      <c r="M77" s="13"/>
      <c r="N77" s="1"/>
      <c r="O77" s="6"/>
      <c r="P77" s="9" t="s">
        <v>15</v>
      </c>
      <c r="Q77" s="13"/>
    </row>
    <row r="78" spans="1:17" x14ac:dyDescent="0.25">
      <c r="A78" s="13"/>
      <c r="B78" s="1" t="s">
        <v>93</v>
      </c>
      <c r="C78" s="6">
        <v>105000</v>
      </c>
      <c r="D78" s="9" t="s">
        <v>14</v>
      </c>
      <c r="E78" s="13"/>
      <c r="G78" s="13"/>
      <c r="H78" s="1" t="s">
        <v>97</v>
      </c>
      <c r="I78" s="6">
        <v>80000</v>
      </c>
      <c r="J78" s="9" t="s">
        <v>14</v>
      </c>
      <c r="K78" s="13"/>
      <c r="M78" s="13"/>
      <c r="N78" s="1"/>
      <c r="O78" s="6"/>
      <c r="P78" s="9" t="s">
        <v>15</v>
      </c>
      <c r="Q78" s="13"/>
    </row>
    <row r="79" spans="1:17" x14ac:dyDescent="0.25">
      <c r="A79" s="13"/>
      <c r="B79" s="1" t="s">
        <v>94</v>
      </c>
      <c r="C79" s="6">
        <v>30000</v>
      </c>
      <c r="D79" s="9" t="s">
        <v>14</v>
      </c>
      <c r="E79" s="13"/>
      <c r="G79" s="13"/>
      <c r="H79" s="1" t="s">
        <v>96</v>
      </c>
      <c r="I79" s="6">
        <v>36000</v>
      </c>
      <c r="J79" s="9" t="s">
        <v>14</v>
      </c>
      <c r="K79" s="13"/>
      <c r="M79" s="13"/>
      <c r="N79" s="1"/>
      <c r="O79" s="6"/>
      <c r="P79" s="9" t="s">
        <v>15</v>
      </c>
      <c r="Q79" s="13"/>
    </row>
    <row r="80" spans="1:17" x14ac:dyDescent="0.25">
      <c r="A80" s="13"/>
      <c r="B80" s="1" t="s">
        <v>50</v>
      </c>
      <c r="C80" s="6">
        <v>11000</v>
      </c>
      <c r="D80" s="9" t="s">
        <v>14</v>
      </c>
      <c r="E80" s="13"/>
      <c r="G80" s="13"/>
      <c r="H80" s="1" t="s">
        <v>98</v>
      </c>
      <c r="I80" s="6">
        <v>40000</v>
      </c>
      <c r="J80" s="9" t="s">
        <v>14</v>
      </c>
      <c r="K80" s="13"/>
      <c r="M80" s="13"/>
      <c r="N80" s="1"/>
      <c r="O80" s="6"/>
      <c r="P80" s="9" t="s">
        <v>15</v>
      </c>
      <c r="Q80" s="13"/>
    </row>
    <row r="81" spans="1:17" x14ac:dyDescent="0.25">
      <c r="A81" s="13"/>
      <c r="B81" s="1"/>
      <c r="C81" s="6"/>
      <c r="D81" s="9" t="s">
        <v>15</v>
      </c>
      <c r="E81" s="13"/>
      <c r="G81" s="13"/>
      <c r="H81" s="1" t="s">
        <v>99</v>
      </c>
      <c r="I81" s="6">
        <v>40000</v>
      </c>
      <c r="J81" s="9" t="s">
        <v>14</v>
      </c>
      <c r="K81" s="13"/>
      <c r="M81" s="13"/>
      <c r="N81" s="1"/>
      <c r="O81" s="6"/>
      <c r="P81" s="9" t="s">
        <v>15</v>
      </c>
      <c r="Q81" s="13"/>
    </row>
    <row r="82" spans="1:17" x14ac:dyDescent="0.25">
      <c r="A82" s="13"/>
      <c r="B82" s="10" t="s">
        <v>3</v>
      </c>
      <c r="C82" s="8">
        <f>SUM(C68:C81)</f>
        <v>1056746</v>
      </c>
      <c r="D82" s="11">
        <f ca="1">SUMIF($D$27:$D$41,"",$C$27:$C$40)</f>
        <v>0</v>
      </c>
      <c r="E82" s="13"/>
      <c r="G82" s="13"/>
      <c r="H82" s="10" t="s">
        <v>3</v>
      </c>
      <c r="I82" s="8">
        <f>SUM(I68:I81)</f>
        <v>955316</v>
      </c>
      <c r="J82" s="11">
        <f ca="1">SUMIF($D$27:$D$41,"",$C$27:$C$40)</f>
        <v>0</v>
      </c>
      <c r="K82" s="13"/>
      <c r="M82" s="13"/>
      <c r="N82" s="10" t="s">
        <v>3</v>
      </c>
      <c r="O82" s="8">
        <f>SUM(O68:O81)</f>
        <v>753868</v>
      </c>
      <c r="P82" s="11">
        <f ca="1">SUMIF($D$27:$D$41,"",$C$27:$C$40)</f>
        <v>0</v>
      </c>
      <c r="Q82" s="13"/>
    </row>
    <row r="83" spans="1:17" x14ac:dyDescent="0.25">
      <c r="B83" s="2" t="s">
        <v>0</v>
      </c>
      <c r="C83" s="3">
        <v>1250000</v>
      </c>
      <c r="D83" s="13"/>
      <c r="H83" s="2" t="s">
        <v>0</v>
      </c>
      <c r="I83" s="3">
        <v>1088000</v>
      </c>
      <c r="J83" s="13"/>
      <c r="N83" s="2" t="s">
        <v>0</v>
      </c>
      <c r="O83" s="3">
        <v>1200000</v>
      </c>
      <c r="P83" s="13"/>
    </row>
    <row r="84" spans="1:17" x14ac:dyDescent="0.25">
      <c r="A84" s="13"/>
      <c r="B84" s="18" t="s">
        <v>1</v>
      </c>
      <c r="C84" s="19">
        <f>C83-C82</f>
        <v>193254</v>
      </c>
      <c r="D84" s="13"/>
      <c r="E84" s="13"/>
      <c r="H84" s="18" t="s">
        <v>1</v>
      </c>
      <c r="I84" s="19">
        <f>I83-I82</f>
        <v>132684</v>
      </c>
      <c r="J84" s="13"/>
      <c r="N84" s="18" t="s">
        <v>1</v>
      </c>
      <c r="O84" s="19">
        <f>O83-O82</f>
        <v>446132</v>
      </c>
      <c r="P84" s="13"/>
    </row>
    <row r="85" spans="1:17" s="21" customFormat="1" x14ac:dyDescent="0.25">
      <c r="A85" s="20"/>
      <c r="B85" s="16"/>
      <c r="C85" s="17"/>
      <c r="D85" s="20"/>
      <c r="E85" s="20"/>
      <c r="H85" s="22"/>
      <c r="I85" s="23"/>
      <c r="J85" s="20"/>
      <c r="N85" s="22"/>
      <c r="O85" s="23"/>
      <c r="P85" s="20"/>
    </row>
    <row r="86" spans="1:17" x14ac:dyDescent="0.25">
      <c r="A86" s="13"/>
      <c r="B86" s="38" t="s">
        <v>26</v>
      </c>
      <c r="C86" s="39"/>
      <c r="D86" s="7" t="s">
        <v>2</v>
      </c>
      <c r="E86" s="13"/>
    </row>
    <row r="87" spans="1:17" x14ac:dyDescent="0.25">
      <c r="A87" s="13"/>
      <c r="B87" s="1" t="s">
        <v>66</v>
      </c>
      <c r="C87" s="6">
        <v>340000</v>
      </c>
      <c r="D87" s="9" t="s">
        <v>15</v>
      </c>
      <c r="E87" s="13"/>
    </row>
    <row r="88" spans="1:17" x14ac:dyDescent="0.25">
      <c r="A88" s="13"/>
      <c r="B88" s="1" t="s">
        <v>73</v>
      </c>
      <c r="C88" s="6">
        <v>340000</v>
      </c>
      <c r="D88" s="9" t="s">
        <v>15</v>
      </c>
      <c r="E88" s="13"/>
      <c r="H88" t="s">
        <v>67</v>
      </c>
    </row>
    <row r="89" spans="1:17" x14ac:dyDescent="0.25">
      <c r="A89" s="13"/>
      <c r="B89" s="1" t="s">
        <v>76</v>
      </c>
      <c r="C89" s="6">
        <v>150000</v>
      </c>
      <c r="D89" s="9" t="s">
        <v>15</v>
      </c>
      <c r="E89" s="13"/>
      <c r="H89" t="s">
        <v>68</v>
      </c>
    </row>
    <row r="90" spans="1:17" x14ac:dyDescent="0.25">
      <c r="A90" s="13"/>
      <c r="B90" s="1" t="s">
        <v>85</v>
      </c>
      <c r="C90" s="6">
        <v>40000</v>
      </c>
      <c r="D90" s="9" t="s">
        <v>15</v>
      </c>
      <c r="E90" s="13"/>
      <c r="H90" t="s">
        <v>69</v>
      </c>
    </row>
    <row r="91" spans="1:17" ht="15.75" thickBot="1" x14ac:dyDescent="0.3">
      <c r="A91" s="13"/>
      <c r="B91" s="1"/>
      <c r="C91" s="6"/>
      <c r="D91" s="9" t="s">
        <v>15</v>
      </c>
      <c r="E91" s="13"/>
      <c r="H91" t="s">
        <v>70</v>
      </c>
    </row>
    <row r="92" spans="1:17" ht="15.75" thickBot="1" x14ac:dyDescent="0.3">
      <c r="A92" s="13"/>
      <c r="B92" s="1"/>
      <c r="C92" s="6"/>
      <c r="D92" s="9" t="s">
        <v>15</v>
      </c>
      <c r="E92" s="13"/>
      <c r="H92" s="25" t="s">
        <v>72</v>
      </c>
    </row>
    <row r="93" spans="1:17" x14ac:dyDescent="0.25">
      <c r="A93" s="13"/>
      <c r="B93" s="1"/>
      <c r="C93" s="6"/>
      <c r="D93" s="9" t="s">
        <v>15</v>
      </c>
      <c r="E93" s="13"/>
    </row>
    <row r="94" spans="1:17" x14ac:dyDescent="0.25">
      <c r="A94" s="13"/>
      <c r="B94" s="1"/>
      <c r="C94" s="6"/>
      <c r="D94" s="9" t="s">
        <v>15</v>
      </c>
      <c r="E94" s="13"/>
    </row>
    <row r="95" spans="1:17" x14ac:dyDescent="0.25">
      <c r="A95" s="13"/>
      <c r="B95" s="1"/>
      <c r="C95" s="6"/>
      <c r="D95" s="9" t="s">
        <v>15</v>
      </c>
      <c r="E95" s="13"/>
      <c r="H95" t="s">
        <v>77</v>
      </c>
    </row>
    <row r="96" spans="1:17" x14ac:dyDescent="0.25">
      <c r="A96" s="13"/>
      <c r="B96" s="1"/>
      <c r="C96" s="6"/>
      <c r="D96" s="9" t="s">
        <v>15</v>
      </c>
      <c r="E96" s="13"/>
      <c r="H96" t="s">
        <v>78</v>
      </c>
    </row>
    <row r="97" spans="1:10" x14ac:dyDescent="0.25">
      <c r="A97" s="13"/>
      <c r="B97" s="1"/>
      <c r="C97" s="6"/>
      <c r="D97" s="9" t="s">
        <v>15</v>
      </c>
      <c r="E97" s="13"/>
    </row>
    <row r="98" spans="1:10" x14ac:dyDescent="0.25">
      <c r="A98" s="13"/>
      <c r="B98" s="1"/>
      <c r="C98" s="6"/>
      <c r="D98" s="9" t="s">
        <v>15</v>
      </c>
      <c r="E98" s="13"/>
      <c r="H98" t="s">
        <v>71</v>
      </c>
    </row>
    <row r="99" spans="1:10" ht="15.75" thickBot="1" x14ac:dyDescent="0.3">
      <c r="A99" s="13"/>
      <c r="B99" s="1"/>
      <c r="C99" s="6"/>
      <c r="D99" s="9" t="s">
        <v>15</v>
      </c>
      <c r="E99" s="13"/>
    </row>
    <row r="100" spans="1:10" ht="15.75" thickBot="1" x14ac:dyDescent="0.3">
      <c r="A100" s="13"/>
      <c r="B100" s="1"/>
      <c r="C100" s="6"/>
      <c r="D100" s="9" t="s">
        <v>15</v>
      </c>
      <c r="E100" s="13"/>
      <c r="H100" s="25" t="s">
        <v>79</v>
      </c>
    </row>
    <row r="101" spans="1:10" x14ac:dyDescent="0.25">
      <c r="A101" s="13"/>
      <c r="B101" s="10" t="s">
        <v>3</v>
      </c>
      <c r="C101" s="8">
        <f>SUM(C87:C100)</f>
        <v>870000</v>
      </c>
      <c r="D101" s="11">
        <f ca="1">SUMIF($D$27:$D$41,"",$C$27:$C$40)</f>
        <v>0</v>
      </c>
      <c r="E101" s="13"/>
      <c r="J101">
        <v>300000</v>
      </c>
    </row>
    <row r="102" spans="1:10" x14ac:dyDescent="0.25">
      <c r="B102" s="2" t="s">
        <v>0</v>
      </c>
      <c r="C102" s="3">
        <v>1542203</v>
      </c>
      <c r="D102" s="13"/>
      <c r="J102">
        <v>200000</v>
      </c>
    </row>
    <row r="103" spans="1:10" x14ac:dyDescent="0.25">
      <c r="B103" s="4" t="s">
        <v>1</v>
      </c>
      <c r="C103" s="26">
        <f>C101-C102</f>
        <v>-672203</v>
      </c>
      <c r="D103" s="13"/>
      <c r="J103">
        <v>20000</v>
      </c>
    </row>
  </sheetData>
  <mergeCells count="13">
    <mergeCell ref="B86:C86"/>
    <mergeCell ref="B26:C26"/>
    <mergeCell ref="H26:I26"/>
    <mergeCell ref="N26:O26"/>
    <mergeCell ref="B48:C48"/>
    <mergeCell ref="H48:I48"/>
    <mergeCell ref="N48:O48"/>
    <mergeCell ref="N3:O3"/>
    <mergeCell ref="B3:C3"/>
    <mergeCell ref="H3:I3"/>
    <mergeCell ref="B67:C67"/>
    <mergeCell ref="H67:I67"/>
    <mergeCell ref="N67:O67"/>
  </mergeCells>
  <phoneticPr fontId="4" type="noConversion"/>
  <conditionalFormatting sqref="D4:D16">
    <cfRule type="cellIs" dxfId="103" priority="73" operator="equal">
      <formula>"EN DEUDA"</formula>
    </cfRule>
    <cfRule type="cellIs" dxfId="102" priority="74" operator="equal">
      <formula>"PAGADO"</formula>
    </cfRule>
  </conditionalFormatting>
  <conditionalFormatting sqref="D27:D41">
    <cfRule type="cellIs" dxfId="101" priority="47" operator="equal">
      <formula>"EN DEUDA"</formula>
    </cfRule>
    <cfRule type="cellIs" dxfId="100" priority="48" operator="equal">
      <formula>"PAGADO"</formula>
    </cfRule>
  </conditionalFormatting>
  <conditionalFormatting sqref="D49:D62">
    <cfRule type="cellIs" dxfId="99" priority="25" operator="equal">
      <formula>"EN DEUDA"</formula>
    </cfRule>
    <cfRule type="cellIs" dxfId="98" priority="26" operator="equal">
      <formula>"PAGADO"</formula>
    </cfRule>
  </conditionalFormatting>
  <conditionalFormatting sqref="D68:D81">
    <cfRule type="cellIs" dxfId="97" priority="13" operator="equal">
      <formula>"EN DEUDA"</formula>
    </cfRule>
    <cfRule type="cellIs" dxfId="96" priority="14" operator="equal">
      <formula>"PAGADO"</formula>
    </cfRule>
  </conditionalFormatting>
  <conditionalFormatting sqref="D87:D100">
    <cfRule type="cellIs" dxfId="95" priority="1" operator="equal">
      <formula>"EN DEUDA"</formula>
    </cfRule>
    <cfRule type="cellIs" dxfId="94" priority="2" operator="equal">
      <formula>"PAGADO"</formula>
    </cfRule>
  </conditionalFormatting>
  <conditionalFormatting sqref="J4:J16">
    <cfRule type="cellIs" dxfId="93" priority="71" operator="equal">
      <formula>"EN DEUDA"</formula>
    </cfRule>
    <cfRule type="cellIs" dxfId="92" priority="72" operator="equal">
      <formula>"PAGADO"</formula>
    </cfRule>
  </conditionalFormatting>
  <conditionalFormatting sqref="J27:J41">
    <cfRule type="cellIs" dxfId="91" priority="45" operator="equal">
      <formula>"EN DEUDA"</formula>
    </cfRule>
    <cfRule type="cellIs" dxfId="90" priority="46" operator="equal">
      <formula>"PAGADO"</formula>
    </cfRule>
  </conditionalFormatting>
  <conditionalFormatting sqref="J49:J62">
    <cfRule type="cellIs" dxfId="89" priority="21" operator="equal">
      <formula>"EN DEUDA"</formula>
    </cfRule>
    <cfRule type="cellIs" dxfId="88" priority="22" operator="equal">
      <formula>"PAGADO"</formula>
    </cfRule>
  </conditionalFormatting>
  <conditionalFormatting sqref="J68:J81">
    <cfRule type="cellIs" dxfId="87" priority="9" operator="equal">
      <formula>"EN DEUDA"</formula>
    </cfRule>
    <cfRule type="cellIs" dxfId="86" priority="10" operator="equal">
      <formula>"PAGADO"</formula>
    </cfRule>
  </conditionalFormatting>
  <conditionalFormatting sqref="P4:P16">
    <cfRule type="cellIs" dxfId="85" priority="69" operator="equal">
      <formula>"EN DEUDA"</formula>
    </cfRule>
    <cfRule type="cellIs" dxfId="84" priority="70" operator="equal">
      <formula>"PAGADO"</formula>
    </cfRule>
  </conditionalFormatting>
  <conditionalFormatting sqref="P27:P41">
    <cfRule type="cellIs" dxfId="83" priority="43" operator="equal">
      <formula>"EN DEUDA"</formula>
    </cfRule>
    <cfRule type="cellIs" dxfId="82" priority="44" operator="equal">
      <formula>"PAGADO"</formula>
    </cfRule>
  </conditionalFormatting>
  <conditionalFormatting sqref="P49:P62">
    <cfRule type="cellIs" dxfId="81" priority="17" operator="equal">
      <formula>"EN DEUDA"</formula>
    </cfRule>
    <cfRule type="cellIs" dxfId="80" priority="18" operator="equal">
      <formula>"PAGADO"</formula>
    </cfRule>
  </conditionalFormatting>
  <conditionalFormatting sqref="P68:P81">
    <cfRule type="cellIs" dxfId="79" priority="5" operator="equal">
      <formula>"EN DEUDA"</formula>
    </cfRule>
    <cfRule type="cellIs" dxfId="78" priority="6" operator="equal">
      <formula>"PAGADO"</formula>
    </cfRule>
  </conditionalFormatting>
  <dataValidations count="1">
    <dataValidation type="list" allowBlank="1" showInputMessage="1" showErrorMessage="1" sqref="D4:D16 J4:J16 P4:P16 J27:J41 J68:J81 D27:D41 P27:P41 P68:P81 D49:D62 J49:J62 D87:D100 D68:D81 P49:P62" xr:uid="{00000000-0002-0000-0000-000000000000}">
      <formula1>"PAGADO,EN DEUDA"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8DBF-35E2-40B4-8FA1-855F21D17A03}">
  <dimension ref="A2:Q105"/>
  <sheetViews>
    <sheetView showGridLines="0" topLeftCell="A49" zoomScaleNormal="100" zoomScaleSheetLayoutView="90" workbookViewId="0">
      <selection activeCell="C70" sqref="C70"/>
    </sheetView>
  </sheetViews>
  <sheetFormatPr baseColWidth="10" defaultColWidth="11.42578125" defaultRowHeight="15" x14ac:dyDescent="0.25"/>
  <cols>
    <col min="1" max="1" width="3.42578125" customWidth="1"/>
    <col min="2" max="2" width="33.28515625" customWidth="1"/>
    <col min="3" max="3" width="13.140625" bestFit="1" customWidth="1"/>
    <col min="4" max="4" width="13" bestFit="1" customWidth="1"/>
    <col min="5" max="5" width="5.28515625" customWidth="1"/>
    <col min="6" max="6" width="4.140625" bestFit="1" customWidth="1"/>
    <col min="7" max="7" width="5.42578125" customWidth="1"/>
    <col min="8" max="8" width="31.42578125" bestFit="1" customWidth="1"/>
    <col min="9" max="9" width="13" bestFit="1" customWidth="1"/>
    <col min="10" max="10" width="10.28515625" bestFit="1" customWidth="1"/>
    <col min="11" max="11" width="6.85546875" customWidth="1"/>
    <col min="12" max="12" width="5.140625" customWidth="1"/>
    <col min="13" max="13" width="5.28515625" customWidth="1"/>
    <col min="14" max="14" width="33.42578125" customWidth="1"/>
    <col min="15" max="15" width="19.42578125" bestFit="1" customWidth="1"/>
    <col min="16" max="16" width="10.28515625" bestFit="1" customWidth="1"/>
    <col min="17" max="17" width="18.28515625" customWidth="1"/>
  </cols>
  <sheetData>
    <row r="2" spans="1:17" x14ac:dyDescent="0.25">
      <c r="A2" s="13"/>
      <c r="B2" s="13"/>
      <c r="C2" s="13"/>
      <c r="D2" s="13"/>
      <c r="E2" s="13"/>
      <c r="G2" s="13"/>
      <c r="H2" s="13"/>
      <c r="I2" s="13"/>
      <c r="J2" s="13"/>
      <c r="K2" s="13"/>
      <c r="M2" s="13"/>
      <c r="N2" s="13"/>
      <c r="O2" s="13"/>
      <c r="P2" s="13"/>
      <c r="Q2" s="13"/>
    </row>
    <row r="3" spans="1:17" x14ac:dyDescent="0.25">
      <c r="A3" s="13"/>
      <c r="B3" s="38" t="s">
        <v>4</v>
      </c>
      <c r="C3" s="39"/>
      <c r="D3" s="7" t="s">
        <v>2</v>
      </c>
      <c r="E3" s="13"/>
      <c r="G3" s="13"/>
      <c r="H3" s="38" t="s">
        <v>5</v>
      </c>
      <c r="I3" s="39"/>
      <c r="J3" s="7" t="s">
        <v>2</v>
      </c>
      <c r="K3" s="13"/>
      <c r="M3" s="13"/>
      <c r="N3" s="38" t="s">
        <v>6</v>
      </c>
      <c r="O3" s="39"/>
      <c r="P3" s="7" t="s">
        <v>2</v>
      </c>
      <c r="Q3" s="13"/>
    </row>
    <row r="4" spans="1:17" x14ac:dyDescent="0.25">
      <c r="A4" s="13"/>
      <c r="B4" s="1" t="s">
        <v>111</v>
      </c>
      <c r="C4" s="6">
        <v>386036</v>
      </c>
      <c r="D4" s="9" t="s">
        <v>14</v>
      </c>
      <c r="E4" s="13"/>
      <c r="G4" s="13"/>
      <c r="H4" s="1" t="s">
        <v>112</v>
      </c>
      <c r="I4" s="6">
        <v>386036</v>
      </c>
      <c r="J4" s="9" t="s">
        <v>14</v>
      </c>
      <c r="K4" s="13"/>
      <c r="M4" s="13"/>
      <c r="N4" s="1" t="s">
        <v>101</v>
      </c>
      <c r="O4" s="6">
        <v>386036</v>
      </c>
      <c r="P4" s="9" t="s">
        <v>14</v>
      </c>
      <c r="Q4" s="13"/>
    </row>
    <row r="5" spans="1:17" x14ac:dyDescent="0.25">
      <c r="A5" s="13"/>
      <c r="B5" s="1" t="s">
        <v>102</v>
      </c>
      <c r="C5" s="6">
        <v>380000</v>
      </c>
      <c r="D5" s="9" t="s">
        <v>14</v>
      </c>
      <c r="E5" s="13"/>
      <c r="G5" s="13"/>
      <c r="H5" s="1" t="s">
        <v>102</v>
      </c>
      <c r="I5" s="6">
        <v>380000</v>
      </c>
      <c r="J5" s="9" t="s">
        <v>14</v>
      </c>
      <c r="K5" s="13"/>
      <c r="M5" s="13"/>
      <c r="N5" s="1" t="s">
        <v>102</v>
      </c>
      <c r="O5" s="6">
        <v>380000</v>
      </c>
      <c r="P5" s="9" t="s">
        <v>14</v>
      </c>
      <c r="Q5" s="13"/>
    </row>
    <row r="6" spans="1:17" x14ac:dyDescent="0.25">
      <c r="A6" s="13"/>
      <c r="B6" s="1" t="s">
        <v>80</v>
      </c>
      <c r="C6" s="6">
        <v>125000</v>
      </c>
      <c r="D6" s="9" t="s">
        <v>14</v>
      </c>
      <c r="E6" s="13"/>
      <c r="G6" s="13"/>
      <c r="H6" s="1" t="s">
        <v>80</v>
      </c>
      <c r="I6" s="6">
        <v>125000</v>
      </c>
      <c r="J6" s="9" t="s">
        <v>14</v>
      </c>
      <c r="K6" s="13"/>
      <c r="M6" s="13"/>
      <c r="N6" s="1" t="s">
        <v>80</v>
      </c>
      <c r="O6" s="6">
        <v>127103</v>
      </c>
      <c r="P6" s="9" t="s">
        <v>14</v>
      </c>
      <c r="Q6" s="13"/>
    </row>
    <row r="7" spans="1:17" x14ac:dyDescent="0.25">
      <c r="A7" s="13"/>
      <c r="B7" s="1" t="s">
        <v>34</v>
      </c>
      <c r="C7" s="6">
        <v>26690</v>
      </c>
      <c r="D7" s="9" t="s">
        <v>14</v>
      </c>
      <c r="E7" s="13"/>
      <c r="G7" s="13"/>
      <c r="H7" s="1" t="s">
        <v>34</v>
      </c>
      <c r="I7" s="6">
        <v>26690</v>
      </c>
      <c r="J7" s="9" t="s">
        <v>14</v>
      </c>
      <c r="K7" s="13"/>
      <c r="M7" s="13"/>
      <c r="N7" s="1" t="s">
        <v>121</v>
      </c>
      <c r="O7" s="6">
        <v>110851</v>
      </c>
      <c r="P7" s="9" t="s">
        <v>14</v>
      </c>
      <c r="Q7" s="13"/>
    </row>
    <row r="8" spans="1:17" x14ac:dyDescent="0.25">
      <c r="A8" s="13"/>
      <c r="B8" s="1" t="s">
        <v>27</v>
      </c>
      <c r="C8" s="6">
        <v>75058</v>
      </c>
      <c r="D8" s="9" t="s">
        <v>14</v>
      </c>
      <c r="E8" s="13"/>
      <c r="G8" s="13"/>
      <c r="H8" s="1" t="s">
        <v>27</v>
      </c>
      <c r="I8" s="6">
        <v>56960</v>
      </c>
      <c r="J8" s="9" t="s">
        <v>14</v>
      </c>
      <c r="K8" s="13"/>
      <c r="M8" s="13"/>
      <c r="N8" s="1" t="s">
        <v>34</v>
      </c>
      <c r="O8" s="6">
        <v>14904</v>
      </c>
      <c r="P8" s="9" t="s">
        <v>14</v>
      </c>
      <c r="Q8" s="13"/>
    </row>
    <row r="9" spans="1:17" x14ac:dyDescent="0.25">
      <c r="A9" s="13"/>
      <c r="B9" s="1" t="s">
        <v>18</v>
      </c>
      <c r="C9" s="6">
        <v>34087</v>
      </c>
      <c r="D9" s="9" t="s">
        <v>14</v>
      </c>
      <c r="E9" s="13"/>
      <c r="G9" s="13"/>
      <c r="H9" s="1" t="s">
        <v>18</v>
      </c>
      <c r="I9" s="6">
        <v>23409</v>
      </c>
      <c r="J9" s="9" t="s">
        <v>14</v>
      </c>
      <c r="K9" s="13"/>
      <c r="M9" s="13"/>
      <c r="N9" s="1" t="s">
        <v>18</v>
      </c>
      <c r="O9" s="6">
        <v>53085</v>
      </c>
      <c r="P9" s="9" t="s">
        <v>14</v>
      </c>
      <c r="Q9" s="13"/>
    </row>
    <row r="10" spans="1:17" x14ac:dyDescent="0.25">
      <c r="A10" s="13"/>
      <c r="B10" s="1" t="s">
        <v>82</v>
      </c>
      <c r="C10" s="6">
        <v>30000</v>
      </c>
      <c r="D10" s="9" t="s">
        <v>14</v>
      </c>
      <c r="E10" s="13"/>
      <c r="G10" s="13"/>
      <c r="H10" s="1" t="s">
        <v>120</v>
      </c>
      <c r="I10" s="6">
        <v>75100</v>
      </c>
      <c r="J10" s="9" t="s">
        <v>14</v>
      </c>
      <c r="K10" s="13"/>
      <c r="M10" s="13"/>
      <c r="N10" s="1" t="s">
        <v>82</v>
      </c>
      <c r="O10" s="6">
        <v>0</v>
      </c>
      <c r="P10" s="9" t="s">
        <v>14</v>
      </c>
      <c r="Q10" s="13"/>
    </row>
    <row r="11" spans="1:17" x14ac:dyDescent="0.25">
      <c r="A11" s="13"/>
      <c r="B11" s="1"/>
      <c r="C11" s="6"/>
      <c r="D11" s="9" t="s">
        <v>14</v>
      </c>
      <c r="E11" s="13"/>
      <c r="G11" s="13"/>
      <c r="H11" s="1" t="s">
        <v>113</v>
      </c>
      <c r="I11" s="6">
        <v>110851</v>
      </c>
      <c r="J11" s="9" t="s">
        <v>14</v>
      </c>
      <c r="K11" s="13"/>
      <c r="M11" s="13"/>
      <c r="N11" s="1" t="s">
        <v>27</v>
      </c>
      <c r="O11" s="6">
        <v>55150</v>
      </c>
      <c r="P11" s="9" t="s">
        <v>14</v>
      </c>
      <c r="Q11" s="13"/>
    </row>
    <row r="12" spans="1:17" x14ac:dyDescent="0.25">
      <c r="A12" s="13"/>
      <c r="B12" s="1" t="s">
        <v>103</v>
      </c>
      <c r="C12" s="6" t="s">
        <v>108</v>
      </c>
      <c r="D12" s="9" t="s">
        <v>14</v>
      </c>
      <c r="E12" s="13"/>
      <c r="G12" s="13"/>
      <c r="H12" s="1" t="s">
        <v>114</v>
      </c>
      <c r="I12" s="6">
        <v>17000</v>
      </c>
      <c r="J12" s="9" t="s">
        <v>14</v>
      </c>
      <c r="K12" s="13"/>
      <c r="M12" s="13"/>
      <c r="N12" s="1" t="s">
        <v>53</v>
      </c>
      <c r="O12" s="6">
        <v>16600</v>
      </c>
      <c r="P12" s="9" t="s">
        <v>14</v>
      </c>
      <c r="Q12" s="13"/>
    </row>
    <row r="13" spans="1:17" x14ac:dyDescent="0.25">
      <c r="A13" s="13"/>
      <c r="B13" s="1" t="s">
        <v>53</v>
      </c>
      <c r="C13" s="6">
        <v>12600</v>
      </c>
      <c r="D13" s="9" t="s">
        <v>14</v>
      </c>
      <c r="E13" s="13"/>
      <c r="G13" s="13"/>
      <c r="H13" s="1" t="s">
        <v>117</v>
      </c>
      <c r="I13" s="6">
        <v>5000</v>
      </c>
      <c r="J13" s="9" t="s">
        <v>14</v>
      </c>
      <c r="K13" s="13"/>
      <c r="M13" s="13"/>
      <c r="N13" s="1" t="s">
        <v>83</v>
      </c>
      <c r="O13" s="6">
        <v>12390</v>
      </c>
      <c r="P13" s="9" t="s">
        <v>14</v>
      </c>
      <c r="Q13" s="12"/>
    </row>
    <row r="14" spans="1:17" x14ac:dyDescent="0.25">
      <c r="A14" s="13"/>
      <c r="B14" s="1" t="s">
        <v>106</v>
      </c>
      <c r="C14" s="6">
        <v>7980</v>
      </c>
      <c r="D14" s="9" t="s">
        <v>14</v>
      </c>
      <c r="E14" s="13"/>
      <c r="G14" s="13"/>
      <c r="H14" s="1" t="s">
        <v>116</v>
      </c>
      <c r="I14" s="6">
        <v>6800</v>
      </c>
      <c r="J14" s="9" t="s">
        <v>14</v>
      </c>
      <c r="K14" s="13"/>
      <c r="M14" s="13"/>
      <c r="N14" s="1" t="s">
        <v>84</v>
      </c>
      <c r="O14" s="6">
        <v>7280</v>
      </c>
      <c r="P14" s="9" t="s">
        <v>14</v>
      </c>
      <c r="Q14" s="13"/>
    </row>
    <row r="15" spans="1:17" x14ac:dyDescent="0.25">
      <c r="A15" s="13"/>
      <c r="B15" s="1" t="s">
        <v>84</v>
      </c>
      <c r="C15" s="6" t="s">
        <v>110</v>
      </c>
      <c r="D15" s="9" t="s">
        <v>14</v>
      </c>
      <c r="E15" s="13"/>
      <c r="G15" s="13"/>
      <c r="H15" s="1" t="s">
        <v>115</v>
      </c>
      <c r="I15" s="6">
        <v>13900</v>
      </c>
      <c r="J15" s="9" t="s">
        <v>14</v>
      </c>
      <c r="K15" s="13"/>
      <c r="M15" s="13"/>
      <c r="N15" s="1" t="s">
        <v>119</v>
      </c>
      <c r="O15" s="28">
        <v>21760</v>
      </c>
      <c r="P15" s="9" t="s">
        <v>14</v>
      </c>
      <c r="Q15" s="13"/>
    </row>
    <row r="16" spans="1:17" x14ac:dyDescent="0.25">
      <c r="A16" s="13"/>
      <c r="B16" s="1" t="s">
        <v>107</v>
      </c>
      <c r="C16" s="6" t="s">
        <v>109</v>
      </c>
      <c r="D16" s="9" t="s">
        <v>14</v>
      </c>
      <c r="E16" s="13"/>
      <c r="G16" s="13"/>
      <c r="H16" s="1"/>
      <c r="I16" s="6"/>
      <c r="J16" s="9" t="s">
        <v>14</v>
      </c>
      <c r="K16" s="13"/>
      <c r="M16" s="13"/>
      <c r="N16" s="1" t="s">
        <v>118</v>
      </c>
      <c r="O16" s="28">
        <v>56000</v>
      </c>
      <c r="P16" s="9" t="s">
        <v>14</v>
      </c>
      <c r="Q16" s="13"/>
    </row>
    <row r="17" spans="1:17" x14ac:dyDescent="0.25">
      <c r="A17" s="13"/>
      <c r="B17" s="1" t="s">
        <v>105</v>
      </c>
      <c r="C17" s="6"/>
      <c r="D17" s="9" t="s">
        <v>15</v>
      </c>
      <c r="E17" s="13"/>
      <c r="G17" s="13"/>
      <c r="H17" s="1" t="s">
        <v>104</v>
      </c>
      <c r="I17" s="6"/>
      <c r="J17" s="9" t="s">
        <v>15</v>
      </c>
      <c r="K17" s="13"/>
      <c r="M17" s="13"/>
      <c r="N17" s="1" t="s">
        <v>122</v>
      </c>
      <c r="O17" s="6">
        <v>150000</v>
      </c>
      <c r="P17" s="9" t="s">
        <v>14</v>
      </c>
      <c r="Q17" s="13"/>
    </row>
    <row r="18" spans="1:17" x14ac:dyDescent="0.25">
      <c r="A18" s="13"/>
      <c r="B18" s="10" t="s">
        <v>3</v>
      </c>
      <c r="C18" s="8">
        <f>SUM(C4:C17)</f>
        <v>1077451</v>
      </c>
      <c r="D18" s="11">
        <f ca="1">SUMIF($D$4:$D$17,"",$C$5:$C$17)</f>
        <v>0</v>
      </c>
      <c r="E18" s="13"/>
      <c r="G18" s="13"/>
      <c r="H18" s="10" t="s">
        <v>3</v>
      </c>
      <c r="I18" s="8">
        <f>SUM(I4:I17)</f>
        <v>1226746</v>
      </c>
      <c r="J18" s="11">
        <f>SUMIF($J$4:$J$17,"",$I$4:$I$17)</f>
        <v>0</v>
      </c>
      <c r="K18" s="13"/>
      <c r="M18" s="13"/>
      <c r="N18" s="10" t="s">
        <v>3</v>
      </c>
      <c r="O18" s="8">
        <f>SUM(O4:O17)</f>
        <v>1391159</v>
      </c>
      <c r="P18" s="11">
        <f ca="1">SUMIF($P$4:$P$17,"",$O$4:$O$15)</f>
        <v>0</v>
      </c>
      <c r="Q18" s="12"/>
    </row>
    <row r="19" spans="1:17" x14ac:dyDescent="0.25">
      <c r="A19" s="13"/>
      <c r="B19" s="2" t="s">
        <v>0</v>
      </c>
      <c r="C19" s="3">
        <v>1088000</v>
      </c>
      <c r="D19" s="12"/>
      <c r="E19" s="13"/>
      <c r="G19" s="13"/>
      <c r="H19" s="2" t="s">
        <v>0</v>
      </c>
      <c r="I19" s="3">
        <v>1122270</v>
      </c>
      <c r="J19" s="13"/>
      <c r="K19" s="13"/>
      <c r="M19" s="13"/>
      <c r="N19" s="2" t="s">
        <v>0</v>
      </c>
      <c r="O19" s="3">
        <v>1319983</v>
      </c>
      <c r="P19" s="13"/>
      <c r="Q19" s="13"/>
    </row>
    <row r="20" spans="1:17" x14ac:dyDescent="0.25">
      <c r="A20" s="13"/>
      <c r="B20" s="4" t="s">
        <v>1</v>
      </c>
      <c r="C20" s="5">
        <f>C19-C18</f>
        <v>10549</v>
      </c>
      <c r="D20" s="13"/>
      <c r="E20" s="13"/>
      <c r="G20" s="13"/>
      <c r="H20" s="4" t="s">
        <v>1</v>
      </c>
      <c r="I20" s="5">
        <f>I19-I18</f>
        <v>-104476</v>
      </c>
      <c r="J20" s="13"/>
      <c r="K20" s="13"/>
      <c r="M20" s="13"/>
      <c r="N20" s="4" t="s">
        <v>1</v>
      </c>
      <c r="O20" s="5">
        <f>O19-O18</f>
        <v>-71176</v>
      </c>
      <c r="P20" s="13"/>
      <c r="Q20" s="13"/>
    </row>
    <row r="21" spans="1:17" x14ac:dyDescent="0.25">
      <c r="A21" s="13"/>
      <c r="B21" s="13"/>
      <c r="C21" s="13"/>
      <c r="D21" s="13"/>
      <c r="E21" s="13"/>
      <c r="G21" s="13"/>
      <c r="H21" s="13"/>
      <c r="I21" s="13"/>
      <c r="J21" s="13"/>
      <c r="K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G22" s="13"/>
      <c r="H22" s="13"/>
      <c r="I22" s="13"/>
      <c r="J22" s="13"/>
      <c r="K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G23" s="13"/>
      <c r="H23" s="13"/>
      <c r="I23" s="13"/>
      <c r="J23" s="13"/>
      <c r="K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G24" s="13"/>
      <c r="H24" s="13"/>
      <c r="I24" s="13"/>
      <c r="J24" s="13"/>
      <c r="K24" s="13"/>
      <c r="M24" s="13"/>
      <c r="N24" s="13"/>
      <c r="O24" s="13"/>
      <c r="P24" s="13"/>
      <c r="Q24" s="13"/>
    </row>
    <row r="26" spans="1:17" x14ac:dyDescent="0.25">
      <c r="A26" s="13"/>
      <c r="B26" s="13"/>
      <c r="C26" s="13"/>
      <c r="D26" s="13"/>
      <c r="E26" s="13"/>
      <c r="G26" s="13"/>
      <c r="H26" s="13"/>
      <c r="I26" s="13"/>
      <c r="J26" s="13"/>
      <c r="K26" s="13"/>
      <c r="M26" s="13"/>
      <c r="N26" s="13"/>
      <c r="O26" s="13"/>
      <c r="P26" s="13"/>
      <c r="Q26" s="13"/>
    </row>
    <row r="27" spans="1:17" x14ac:dyDescent="0.25">
      <c r="A27" s="13"/>
      <c r="B27" s="38" t="s">
        <v>7</v>
      </c>
      <c r="C27" s="39"/>
      <c r="D27" s="7" t="s">
        <v>2</v>
      </c>
      <c r="E27" s="13"/>
      <c r="G27" s="13"/>
      <c r="H27" s="38" t="s">
        <v>8</v>
      </c>
      <c r="I27" s="39"/>
      <c r="J27" s="7" t="s">
        <v>2</v>
      </c>
      <c r="K27" s="13"/>
      <c r="M27" s="13"/>
      <c r="N27" s="38" t="s">
        <v>9</v>
      </c>
      <c r="O27" s="39"/>
      <c r="P27" s="7" t="s">
        <v>2</v>
      </c>
      <c r="Q27" s="13"/>
    </row>
    <row r="28" spans="1:17" x14ac:dyDescent="0.25">
      <c r="A28" s="13"/>
      <c r="B28" s="1" t="s">
        <v>101</v>
      </c>
      <c r="C28" s="6">
        <v>386036</v>
      </c>
      <c r="D28" s="9" t="s">
        <v>14</v>
      </c>
      <c r="E28" s="13"/>
      <c r="G28" s="13"/>
      <c r="H28" s="1" t="s">
        <v>101</v>
      </c>
      <c r="I28" s="6">
        <v>386036</v>
      </c>
      <c r="J28" s="9" t="s">
        <v>14</v>
      </c>
      <c r="K28" s="13"/>
      <c r="M28" s="13"/>
      <c r="N28" s="1" t="s">
        <v>101</v>
      </c>
      <c r="O28" s="6">
        <v>386036</v>
      </c>
      <c r="P28" s="9" t="s">
        <v>14</v>
      </c>
      <c r="Q28" s="13"/>
    </row>
    <row r="29" spans="1:17" x14ac:dyDescent="0.25">
      <c r="A29" s="13"/>
      <c r="B29" s="1" t="s">
        <v>102</v>
      </c>
      <c r="C29" s="6">
        <v>380000</v>
      </c>
      <c r="D29" s="9" t="s">
        <v>14</v>
      </c>
      <c r="E29" s="13"/>
      <c r="G29" s="13"/>
      <c r="H29" s="1" t="s">
        <v>102</v>
      </c>
      <c r="I29" s="6">
        <v>380000</v>
      </c>
      <c r="J29" s="9" t="s">
        <v>14</v>
      </c>
      <c r="K29" s="13"/>
      <c r="M29" s="13"/>
      <c r="N29" s="1" t="s">
        <v>102</v>
      </c>
      <c r="O29" s="6">
        <v>380000</v>
      </c>
      <c r="P29" s="9" t="s">
        <v>14</v>
      </c>
      <c r="Q29" s="13"/>
    </row>
    <row r="30" spans="1:17" x14ac:dyDescent="0.25">
      <c r="A30" s="13"/>
      <c r="B30" s="1" t="s">
        <v>80</v>
      </c>
      <c r="C30" s="6">
        <v>130000</v>
      </c>
      <c r="D30" s="9" t="s">
        <v>14</v>
      </c>
      <c r="E30" s="13"/>
      <c r="G30" s="13"/>
      <c r="H30" s="1" t="s">
        <v>80</v>
      </c>
      <c r="I30" s="6">
        <v>130000</v>
      </c>
      <c r="J30" s="9" t="s">
        <v>14</v>
      </c>
      <c r="K30" s="13"/>
      <c r="M30" s="13"/>
      <c r="N30" s="1" t="s">
        <v>80</v>
      </c>
      <c r="O30" s="6">
        <v>130000</v>
      </c>
      <c r="P30" s="9" t="s">
        <v>14</v>
      </c>
      <c r="Q30" s="13"/>
    </row>
    <row r="31" spans="1:17" x14ac:dyDescent="0.25">
      <c r="A31" s="13"/>
      <c r="B31" s="1" t="s">
        <v>123</v>
      </c>
      <c r="C31" s="6">
        <v>110851</v>
      </c>
      <c r="D31" s="9" t="s">
        <v>14</v>
      </c>
      <c r="E31" s="13"/>
      <c r="G31" s="13"/>
      <c r="H31" s="1" t="s">
        <v>34</v>
      </c>
      <c r="I31" s="6">
        <v>26011</v>
      </c>
      <c r="J31" s="9" t="s">
        <v>14</v>
      </c>
      <c r="K31" s="13"/>
      <c r="M31" s="13"/>
      <c r="N31" s="1" t="s">
        <v>34</v>
      </c>
      <c r="O31" s="6">
        <v>29473</v>
      </c>
      <c r="P31" s="9" t="s">
        <v>14</v>
      </c>
      <c r="Q31" s="13"/>
    </row>
    <row r="32" spans="1:17" x14ac:dyDescent="0.25">
      <c r="A32" s="13"/>
      <c r="B32" s="1" t="s">
        <v>34</v>
      </c>
      <c r="C32" s="6">
        <v>22530</v>
      </c>
      <c r="D32" s="9" t="s">
        <v>14</v>
      </c>
      <c r="E32" s="13"/>
      <c r="G32" s="13"/>
      <c r="H32" s="1" t="s">
        <v>18</v>
      </c>
      <c r="I32" s="6">
        <v>60000</v>
      </c>
      <c r="J32" s="9" t="s">
        <v>14</v>
      </c>
      <c r="K32" s="13"/>
      <c r="M32" s="13"/>
      <c r="N32" s="1" t="s">
        <v>18</v>
      </c>
      <c r="O32" s="6">
        <v>29258</v>
      </c>
      <c r="P32" s="9" t="s">
        <v>14</v>
      </c>
      <c r="Q32" s="13"/>
    </row>
    <row r="33" spans="1:17" x14ac:dyDescent="0.25">
      <c r="A33" s="13"/>
      <c r="B33" s="1" t="s">
        <v>18</v>
      </c>
      <c r="C33" s="6">
        <v>59470</v>
      </c>
      <c r="D33" s="9" t="s">
        <v>14</v>
      </c>
      <c r="E33" s="13"/>
      <c r="G33" s="13"/>
      <c r="H33" s="1" t="s">
        <v>27</v>
      </c>
      <c r="I33" s="6">
        <v>50000</v>
      </c>
      <c r="J33" s="9" t="s">
        <v>14</v>
      </c>
      <c r="K33" s="13"/>
      <c r="M33" s="13"/>
      <c r="N33" s="1" t="s">
        <v>27</v>
      </c>
      <c r="O33" s="6">
        <v>20334</v>
      </c>
      <c r="P33" s="9" t="s">
        <v>14</v>
      </c>
      <c r="Q33" s="13"/>
    </row>
    <row r="34" spans="1:17" x14ac:dyDescent="0.25">
      <c r="A34" s="13"/>
      <c r="B34" s="1" t="s">
        <v>82</v>
      </c>
      <c r="C34" s="6"/>
      <c r="D34" s="9" t="s">
        <v>15</v>
      </c>
      <c r="E34" s="13"/>
      <c r="G34" s="13"/>
      <c r="H34" s="1" t="s">
        <v>53</v>
      </c>
      <c r="I34" s="6">
        <v>17400</v>
      </c>
      <c r="J34" s="9" t="s">
        <v>14</v>
      </c>
      <c r="K34" s="13"/>
      <c r="M34" s="13"/>
      <c r="N34" s="1" t="s">
        <v>53</v>
      </c>
      <c r="O34" s="6">
        <v>22500</v>
      </c>
      <c r="P34" s="9" t="s">
        <v>14</v>
      </c>
      <c r="Q34" s="13"/>
    </row>
    <row r="35" spans="1:17" x14ac:dyDescent="0.25">
      <c r="A35" s="13"/>
      <c r="B35" s="1" t="s">
        <v>27</v>
      </c>
      <c r="C35" s="6">
        <v>92800</v>
      </c>
      <c r="D35" s="9" t="s">
        <v>14</v>
      </c>
      <c r="E35" s="13"/>
      <c r="G35" s="13"/>
      <c r="H35" s="1" t="s">
        <v>83</v>
      </c>
      <c r="I35" s="6">
        <v>8160</v>
      </c>
      <c r="J35" s="9" t="s">
        <v>14</v>
      </c>
      <c r="K35" s="13"/>
      <c r="M35" s="13"/>
      <c r="N35" s="1" t="s">
        <v>83</v>
      </c>
      <c r="O35" s="6">
        <v>8020</v>
      </c>
      <c r="P35" s="9" t="s">
        <v>14</v>
      </c>
      <c r="Q35" s="13"/>
    </row>
    <row r="36" spans="1:17" x14ac:dyDescent="0.25">
      <c r="A36" s="13"/>
      <c r="B36" s="1" t="s">
        <v>53</v>
      </c>
      <c r="C36" s="6">
        <v>11000</v>
      </c>
      <c r="D36" s="9" t="s">
        <v>14</v>
      </c>
      <c r="E36" s="13"/>
      <c r="G36" s="13"/>
      <c r="H36" s="1" t="s">
        <v>84</v>
      </c>
      <c r="I36" s="6">
        <v>32480</v>
      </c>
      <c r="J36" s="9" t="s">
        <v>14</v>
      </c>
      <c r="K36" s="13"/>
      <c r="M36" s="13"/>
      <c r="N36" s="1" t="s">
        <v>84</v>
      </c>
      <c r="O36" s="6">
        <v>23550</v>
      </c>
      <c r="P36" s="9" t="s">
        <v>14</v>
      </c>
      <c r="Q36" s="13"/>
    </row>
    <row r="37" spans="1:17" x14ac:dyDescent="0.25">
      <c r="A37" s="13"/>
      <c r="B37" s="1" t="s">
        <v>83</v>
      </c>
      <c r="C37" s="6">
        <v>8020</v>
      </c>
      <c r="D37" s="9" t="s">
        <v>14</v>
      </c>
      <c r="E37" s="13"/>
      <c r="G37" s="13"/>
      <c r="H37" s="1" t="s">
        <v>95</v>
      </c>
      <c r="I37" s="6">
        <v>8255</v>
      </c>
      <c r="J37" s="9" t="s">
        <v>14</v>
      </c>
      <c r="K37" s="13"/>
      <c r="M37" s="13"/>
      <c r="N37" s="1" t="s">
        <v>95</v>
      </c>
      <c r="O37" s="6">
        <v>16900</v>
      </c>
      <c r="P37" s="9" t="s">
        <v>15</v>
      </c>
      <c r="Q37" s="13"/>
    </row>
    <row r="38" spans="1:17" x14ac:dyDescent="0.25">
      <c r="A38" s="13"/>
      <c r="B38" s="1" t="s">
        <v>84</v>
      </c>
      <c r="C38" s="6">
        <v>7280</v>
      </c>
      <c r="D38" s="9" t="s">
        <v>14</v>
      </c>
      <c r="E38" s="13"/>
      <c r="G38" s="13"/>
      <c r="H38" s="1" t="s">
        <v>124</v>
      </c>
      <c r="I38" s="6">
        <v>63815</v>
      </c>
      <c r="J38" s="9" t="s">
        <v>14</v>
      </c>
      <c r="K38" s="13"/>
      <c r="M38" s="13"/>
      <c r="N38" s="1" t="s">
        <v>125</v>
      </c>
      <c r="O38" s="6">
        <v>3988</v>
      </c>
      <c r="P38" s="9" t="s">
        <v>15</v>
      </c>
      <c r="Q38" s="13"/>
    </row>
    <row r="39" spans="1:17" x14ac:dyDescent="0.25">
      <c r="A39" s="13"/>
      <c r="B39" s="1" t="s">
        <v>95</v>
      </c>
      <c r="C39" s="6">
        <v>10660</v>
      </c>
      <c r="D39" s="9" t="s">
        <v>14</v>
      </c>
      <c r="E39" s="13"/>
      <c r="G39" s="13"/>
      <c r="H39" s="1" t="s">
        <v>126</v>
      </c>
      <c r="I39" s="6">
        <v>150000</v>
      </c>
      <c r="J39" s="9" t="s">
        <v>15</v>
      </c>
      <c r="K39" s="13"/>
      <c r="M39" s="13"/>
      <c r="N39" s="1" t="s">
        <v>126</v>
      </c>
      <c r="O39" s="6"/>
      <c r="P39" s="9" t="s">
        <v>15</v>
      </c>
      <c r="Q39" s="13"/>
    </row>
    <row r="40" spans="1:17" x14ac:dyDescent="0.25">
      <c r="A40" s="13"/>
      <c r="B40" s="1" t="s">
        <v>118</v>
      </c>
      <c r="C40" s="6">
        <v>55000</v>
      </c>
      <c r="D40" s="9" t="s">
        <v>14</v>
      </c>
      <c r="E40" s="13"/>
      <c r="G40" s="13"/>
      <c r="H40" s="1"/>
      <c r="I40" s="6"/>
      <c r="J40" s="9" t="s">
        <v>15</v>
      </c>
      <c r="K40" s="13"/>
      <c r="M40" s="13"/>
      <c r="N40" s="1" t="s">
        <v>127</v>
      </c>
      <c r="O40" s="6">
        <v>50700</v>
      </c>
      <c r="P40" s="9" t="s">
        <v>15</v>
      </c>
      <c r="Q40" s="13"/>
    </row>
    <row r="41" spans="1:17" x14ac:dyDescent="0.25">
      <c r="A41" s="13"/>
      <c r="B41" s="1" t="s">
        <v>122</v>
      </c>
      <c r="C41" s="6">
        <v>150000</v>
      </c>
      <c r="D41" s="9" t="s">
        <v>15</v>
      </c>
      <c r="E41" s="13"/>
      <c r="G41" s="13"/>
      <c r="H41" s="1"/>
      <c r="I41" s="6"/>
      <c r="J41" s="9" t="s">
        <v>15</v>
      </c>
      <c r="K41" s="13"/>
      <c r="M41" s="13"/>
      <c r="N41" s="1" t="s">
        <v>95</v>
      </c>
      <c r="O41" s="6">
        <v>16502</v>
      </c>
      <c r="P41" s="9" t="s">
        <v>15</v>
      </c>
      <c r="Q41" s="13"/>
    </row>
    <row r="42" spans="1:17" x14ac:dyDescent="0.25">
      <c r="A42" s="13"/>
      <c r="B42" s="1" t="s">
        <v>124</v>
      </c>
      <c r="C42" s="6">
        <v>58974</v>
      </c>
      <c r="D42" s="9" t="s">
        <v>15</v>
      </c>
      <c r="E42" s="13"/>
      <c r="G42" s="13"/>
      <c r="H42" s="1"/>
      <c r="I42" s="6"/>
      <c r="J42" s="9" t="s">
        <v>15</v>
      </c>
      <c r="K42" s="13"/>
      <c r="M42" s="13"/>
      <c r="N42" s="1"/>
      <c r="O42" s="6"/>
      <c r="P42" s="9" t="s">
        <v>15</v>
      </c>
      <c r="Q42" s="13"/>
    </row>
    <row r="43" spans="1:17" x14ac:dyDescent="0.25">
      <c r="A43" s="13"/>
      <c r="B43" s="10" t="s">
        <v>3</v>
      </c>
      <c r="C43" s="8">
        <f>SUM(C28:C42)</f>
        <v>1482621</v>
      </c>
      <c r="D43" s="11">
        <f ca="1">SUMIF($D$28:$D$42,"",$C$28:$C$41)</f>
        <v>0</v>
      </c>
      <c r="E43" s="13"/>
      <c r="G43" s="13"/>
      <c r="H43" s="10" t="s">
        <v>3</v>
      </c>
      <c r="I43" s="8">
        <f>SUM(I28:I42)</f>
        <v>1312157</v>
      </c>
      <c r="J43" s="14">
        <f>SUMIF($J$28:$J$42,"",$I$28:$I$42)</f>
        <v>0</v>
      </c>
      <c r="K43" s="13"/>
      <c r="M43" s="13"/>
      <c r="N43" s="10" t="s">
        <v>3</v>
      </c>
      <c r="O43" s="8">
        <f>SUM(O28:O42)</f>
        <v>1117261</v>
      </c>
      <c r="P43" s="14">
        <f>SUMIF($P$28:$P$42,"",$O$28:$O$42)</f>
        <v>0</v>
      </c>
      <c r="Q43" s="13"/>
    </row>
    <row r="44" spans="1:17" x14ac:dyDescent="0.25">
      <c r="A44" s="13"/>
      <c r="B44" s="2" t="s">
        <v>0</v>
      </c>
      <c r="C44" s="3">
        <v>1573134</v>
      </c>
      <c r="D44" s="13"/>
      <c r="E44" s="13"/>
      <c r="G44" s="13"/>
      <c r="H44" s="2" t="s">
        <v>0</v>
      </c>
      <c r="I44" s="3">
        <v>1490000</v>
      </c>
      <c r="J44" s="13"/>
      <c r="K44" s="13"/>
      <c r="M44" s="13"/>
      <c r="N44" s="2" t="s">
        <v>0</v>
      </c>
      <c r="O44" s="3">
        <v>1479310</v>
      </c>
      <c r="P44" s="13"/>
      <c r="Q44" s="13"/>
    </row>
    <row r="45" spans="1:17" x14ac:dyDescent="0.25">
      <c r="A45" s="13"/>
      <c r="B45" s="4" t="s">
        <v>1</v>
      </c>
      <c r="C45" s="5">
        <f>C44-C43</f>
        <v>90513</v>
      </c>
      <c r="D45" s="13"/>
      <c r="E45" s="13"/>
      <c r="G45" s="13"/>
      <c r="H45" s="4" t="s">
        <v>1</v>
      </c>
      <c r="I45" s="5">
        <f>I44-I43</f>
        <v>177843</v>
      </c>
      <c r="J45" s="13"/>
      <c r="K45" s="13"/>
      <c r="M45" s="13"/>
      <c r="N45" s="4" t="s">
        <v>1</v>
      </c>
      <c r="O45" s="5">
        <f>O44-O43</f>
        <v>362049</v>
      </c>
      <c r="P45" s="13"/>
      <c r="Q45" s="13"/>
    </row>
    <row r="46" spans="1:17" x14ac:dyDescent="0.25">
      <c r="A46" s="13"/>
      <c r="B46" s="13"/>
      <c r="C46" s="13"/>
      <c r="D46" s="13"/>
      <c r="E46" s="13"/>
      <c r="G46" s="13"/>
      <c r="H46" s="13"/>
      <c r="I46" s="13"/>
      <c r="J46" s="13"/>
      <c r="K46" s="13"/>
      <c r="M46" s="13"/>
      <c r="N46" s="13"/>
      <c r="O46" s="13"/>
      <c r="P46" s="13"/>
      <c r="Q46" s="13"/>
    </row>
    <row r="48" spans="1:17" x14ac:dyDescent="0.25">
      <c r="A48" s="13"/>
      <c r="B48" s="13"/>
      <c r="C48" s="13"/>
      <c r="D48" s="13"/>
      <c r="E48" s="13"/>
      <c r="G48" s="13"/>
      <c r="H48" s="13"/>
      <c r="I48" s="13"/>
      <c r="J48" s="13"/>
      <c r="K48" s="13"/>
      <c r="M48" s="13"/>
      <c r="N48" s="13"/>
      <c r="O48" s="13"/>
      <c r="P48" s="13"/>
      <c r="Q48" s="13"/>
    </row>
    <row r="49" spans="1:17" x14ac:dyDescent="0.25">
      <c r="A49" s="13"/>
      <c r="B49" s="38" t="s">
        <v>20</v>
      </c>
      <c r="C49" s="39"/>
      <c r="D49" s="7" t="s">
        <v>2</v>
      </c>
      <c r="E49" s="13"/>
      <c r="G49" s="13"/>
      <c r="H49" s="38" t="s">
        <v>21</v>
      </c>
      <c r="I49" s="39"/>
      <c r="J49" s="7" t="s">
        <v>2</v>
      </c>
      <c r="K49" s="13"/>
      <c r="M49" s="13"/>
      <c r="N49" s="38" t="s">
        <v>22</v>
      </c>
      <c r="O49" s="39"/>
      <c r="P49" s="7" t="s">
        <v>2</v>
      </c>
      <c r="Q49" s="13"/>
    </row>
    <row r="50" spans="1:17" x14ac:dyDescent="0.25">
      <c r="A50" s="13"/>
      <c r="B50" s="1" t="s">
        <v>101</v>
      </c>
      <c r="C50" s="6">
        <v>386036</v>
      </c>
      <c r="D50" s="9" t="s">
        <v>14</v>
      </c>
      <c r="E50" s="13"/>
      <c r="G50" s="13"/>
      <c r="H50" s="1" t="s">
        <v>101</v>
      </c>
      <c r="I50" s="6">
        <v>386036</v>
      </c>
      <c r="J50" s="9" t="s">
        <v>14</v>
      </c>
      <c r="K50" s="13"/>
      <c r="M50" s="13"/>
      <c r="N50" s="1" t="s">
        <v>101</v>
      </c>
      <c r="O50" s="6">
        <v>386036</v>
      </c>
      <c r="P50" s="9" t="s">
        <v>14</v>
      </c>
      <c r="Q50" s="24"/>
    </row>
    <row r="51" spans="1:17" x14ac:dyDescent="0.25">
      <c r="A51" s="13"/>
      <c r="B51" s="1" t="s">
        <v>102</v>
      </c>
      <c r="C51" s="6">
        <v>380000</v>
      </c>
      <c r="D51" s="9" t="s">
        <v>14</v>
      </c>
      <c r="E51" s="13"/>
      <c r="G51" s="13"/>
      <c r="H51" s="1" t="s">
        <v>102</v>
      </c>
      <c r="I51" s="6">
        <v>380000</v>
      </c>
      <c r="J51" s="9" t="s">
        <v>14</v>
      </c>
      <c r="K51" s="13"/>
      <c r="M51" s="13"/>
      <c r="N51" s="1" t="s">
        <v>102</v>
      </c>
      <c r="O51" s="6">
        <v>380000</v>
      </c>
      <c r="P51" s="9" t="s">
        <v>14</v>
      </c>
      <c r="Q51" s="24"/>
    </row>
    <row r="52" spans="1:17" x14ac:dyDescent="0.25">
      <c r="A52" s="13"/>
      <c r="B52" s="1" t="s">
        <v>80</v>
      </c>
      <c r="C52" s="6">
        <v>130000</v>
      </c>
      <c r="D52" s="9" t="s">
        <v>14</v>
      </c>
      <c r="E52" s="13"/>
      <c r="G52" s="13"/>
      <c r="H52" s="1" t="s">
        <v>80</v>
      </c>
      <c r="I52" s="6">
        <v>130000</v>
      </c>
      <c r="J52" s="9" t="s">
        <v>14</v>
      </c>
      <c r="K52" s="13"/>
      <c r="M52" s="13"/>
      <c r="N52" s="1" t="s">
        <v>80</v>
      </c>
      <c r="O52" s="6">
        <v>147500</v>
      </c>
      <c r="P52" s="9" t="s">
        <v>14</v>
      </c>
      <c r="Q52" s="24"/>
    </row>
    <row r="53" spans="1:17" x14ac:dyDescent="0.25">
      <c r="A53" s="13"/>
      <c r="B53" s="1" t="s">
        <v>34</v>
      </c>
      <c r="C53" s="6">
        <v>26776</v>
      </c>
      <c r="D53" s="9" t="s">
        <v>14</v>
      </c>
      <c r="E53" s="13"/>
      <c r="G53" s="13"/>
      <c r="H53" s="1" t="s">
        <v>34</v>
      </c>
      <c r="I53" s="6">
        <v>11193</v>
      </c>
      <c r="J53" s="9" t="s">
        <v>14</v>
      </c>
      <c r="K53" s="13"/>
      <c r="M53" s="13"/>
      <c r="N53" s="1" t="s">
        <v>34</v>
      </c>
      <c r="O53" s="6">
        <v>11193</v>
      </c>
      <c r="P53" s="9" t="s">
        <v>14</v>
      </c>
      <c r="Q53" s="24"/>
    </row>
    <row r="54" spans="1:17" x14ac:dyDescent="0.25">
      <c r="A54" s="13"/>
      <c r="B54" s="1" t="s">
        <v>18</v>
      </c>
      <c r="C54" s="6">
        <v>32254</v>
      </c>
      <c r="D54" s="9" t="s">
        <v>14</v>
      </c>
      <c r="E54" s="13"/>
      <c r="G54" s="13"/>
      <c r="H54" s="1" t="s">
        <v>18</v>
      </c>
      <c r="I54" s="6">
        <v>35492</v>
      </c>
      <c r="J54" s="9" t="s">
        <v>14</v>
      </c>
      <c r="K54" s="13"/>
      <c r="M54" s="13"/>
      <c r="N54" s="1" t="s">
        <v>18</v>
      </c>
      <c r="O54" s="6">
        <v>31345</v>
      </c>
      <c r="P54" s="9" t="s">
        <v>14</v>
      </c>
      <c r="Q54" s="24"/>
    </row>
    <row r="55" spans="1:17" x14ac:dyDescent="0.25">
      <c r="A55" s="13"/>
      <c r="B55" s="1" t="s">
        <v>27</v>
      </c>
      <c r="C55" s="6">
        <v>50000</v>
      </c>
      <c r="D55" s="9" t="s">
        <v>14</v>
      </c>
      <c r="E55" s="13"/>
      <c r="G55" s="13"/>
      <c r="H55" s="1" t="s">
        <v>27</v>
      </c>
      <c r="I55" s="6">
        <v>76230</v>
      </c>
      <c r="J55" s="9" t="s">
        <v>14</v>
      </c>
      <c r="K55" s="13"/>
      <c r="M55" s="13"/>
      <c r="N55" s="1" t="s">
        <v>27</v>
      </c>
      <c r="O55" s="6">
        <v>61890</v>
      </c>
      <c r="P55" s="9" t="s">
        <v>14</v>
      </c>
      <c r="Q55" s="24"/>
    </row>
    <row r="56" spans="1:17" x14ac:dyDescent="0.25">
      <c r="A56" s="13"/>
      <c r="B56" s="1" t="s">
        <v>53</v>
      </c>
      <c r="C56" s="6">
        <v>52000</v>
      </c>
      <c r="D56" s="9" t="s">
        <v>14</v>
      </c>
      <c r="E56" s="13"/>
      <c r="G56" s="13"/>
      <c r="H56" s="1" t="s">
        <v>53</v>
      </c>
      <c r="I56" s="6">
        <v>72700</v>
      </c>
      <c r="J56" s="9" t="s">
        <v>14</v>
      </c>
      <c r="K56" s="13"/>
      <c r="M56" s="13"/>
      <c r="N56" s="1" t="s">
        <v>53</v>
      </c>
      <c r="O56" s="6">
        <v>37200</v>
      </c>
      <c r="P56" s="9" t="s">
        <v>14</v>
      </c>
      <c r="Q56" s="24"/>
    </row>
    <row r="57" spans="1:17" x14ac:dyDescent="0.25">
      <c r="A57" s="13"/>
      <c r="B57" s="1" t="s">
        <v>83</v>
      </c>
      <c r="C57" s="6">
        <v>5940</v>
      </c>
      <c r="D57" s="9" t="s">
        <v>14</v>
      </c>
      <c r="E57" s="13"/>
      <c r="G57" s="13"/>
      <c r="H57" s="1" t="s">
        <v>83</v>
      </c>
      <c r="I57" s="15">
        <v>0</v>
      </c>
      <c r="J57" s="9" t="s">
        <v>14</v>
      </c>
      <c r="K57" s="13"/>
      <c r="M57" s="13"/>
      <c r="N57" s="1" t="s">
        <v>83</v>
      </c>
      <c r="O57" s="6">
        <v>8120</v>
      </c>
      <c r="P57" s="9" t="s">
        <v>14</v>
      </c>
      <c r="Q57" s="24"/>
    </row>
    <row r="58" spans="1:17" x14ac:dyDescent="0.25">
      <c r="A58" s="13"/>
      <c r="B58" s="1" t="s">
        <v>84</v>
      </c>
      <c r="C58" s="6">
        <v>7840</v>
      </c>
      <c r="D58" s="9" t="s">
        <v>14</v>
      </c>
      <c r="E58" s="13"/>
      <c r="G58" s="13"/>
      <c r="H58" s="1" t="s">
        <v>84</v>
      </c>
      <c r="I58" s="6">
        <v>7490</v>
      </c>
      <c r="J58" s="9" t="s">
        <v>14</v>
      </c>
      <c r="K58" s="13"/>
      <c r="M58" s="13"/>
      <c r="N58" s="1" t="s">
        <v>84</v>
      </c>
      <c r="O58" s="6">
        <v>0</v>
      </c>
      <c r="P58" s="9" t="s">
        <v>14</v>
      </c>
      <c r="Q58" s="24"/>
    </row>
    <row r="59" spans="1:17" x14ac:dyDescent="0.25">
      <c r="A59" s="13"/>
      <c r="B59" s="1" t="s">
        <v>95</v>
      </c>
      <c r="C59" s="6"/>
      <c r="D59" s="9" t="s">
        <v>15</v>
      </c>
      <c r="E59" s="13"/>
      <c r="G59" s="13"/>
      <c r="H59" s="1" t="s">
        <v>128</v>
      </c>
      <c r="I59" s="6">
        <v>150000</v>
      </c>
      <c r="J59" s="9" t="s">
        <v>14</v>
      </c>
      <c r="K59" s="13"/>
      <c r="M59" s="13"/>
      <c r="N59" s="1" t="s">
        <v>128</v>
      </c>
      <c r="O59" s="6">
        <v>55000</v>
      </c>
      <c r="P59" s="9" t="s">
        <v>14</v>
      </c>
      <c r="Q59" s="24"/>
    </row>
    <row r="60" spans="1:17" x14ac:dyDescent="0.25">
      <c r="A60" s="13"/>
      <c r="B60" s="1" t="s">
        <v>128</v>
      </c>
      <c r="C60" s="6">
        <v>100000</v>
      </c>
      <c r="D60" s="9" t="s">
        <v>14</v>
      </c>
      <c r="E60" s="13"/>
      <c r="G60" s="13"/>
      <c r="H60" s="1" t="s">
        <v>129</v>
      </c>
      <c r="I60" s="6">
        <v>31000</v>
      </c>
      <c r="J60" s="9" t="s">
        <v>14</v>
      </c>
      <c r="K60" s="13"/>
      <c r="M60" s="13"/>
      <c r="N60" s="1" t="s">
        <v>129</v>
      </c>
      <c r="O60" s="6">
        <v>20000</v>
      </c>
      <c r="P60" s="9" t="s">
        <v>14</v>
      </c>
      <c r="Q60" s="24"/>
    </row>
    <row r="61" spans="1:17" x14ac:dyDescent="0.25">
      <c r="A61" s="13"/>
      <c r="B61" s="1" t="s">
        <v>129</v>
      </c>
      <c r="C61" s="6">
        <v>15000</v>
      </c>
      <c r="D61" s="9" t="s">
        <v>14</v>
      </c>
      <c r="E61" s="13"/>
      <c r="G61" s="13"/>
      <c r="H61" s="1"/>
      <c r="I61" s="6"/>
      <c r="J61" s="9" t="s">
        <v>15</v>
      </c>
      <c r="K61" s="13"/>
      <c r="M61" s="13"/>
      <c r="N61" s="1" t="s">
        <v>17</v>
      </c>
      <c r="O61" s="6">
        <v>54222</v>
      </c>
      <c r="P61" s="9" t="s">
        <v>14</v>
      </c>
      <c r="Q61" s="13"/>
    </row>
    <row r="62" spans="1:17" x14ac:dyDescent="0.25">
      <c r="A62" s="13"/>
      <c r="B62" s="1" t="s">
        <v>17</v>
      </c>
      <c r="C62" s="6">
        <v>70000</v>
      </c>
      <c r="D62" s="9" t="s">
        <v>14</v>
      </c>
      <c r="E62" s="13"/>
      <c r="G62" s="13"/>
      <c r="H62" s="1"/>
      <c r="I62" s="6"/>
      <c r="J62" s="9" t="s">
        <v>15</v>
      </c>
      <c r="K62" s="13"/>
      <c r="M62" s="13"/>
      <c r="N62" s="1" t="s">
        <v>95</v>
      </c>
      <c r="O62" s="6">
        <v>29010</v>
      </c>
      <c r="P62" s="9" t="s">
        <v>14</v>
      </c>
      <c r="Q62" s="13"/>
    </row>
    <row r="63" spans="1:17" x14ac:dyDescent="0.25">
      <c r="A63" s="13"/>
      <c r="B63" s="1" t="s">
        <v>35</v>
      </c>
      <c r="C63" s="6">
        <v>20000</v>
      </c>
      <c r="D63" s="9" t="s">
        <v>14</v>
      </c>
      <c r="E63" s="13"/>
      <c r="G63" s="13"/>
      <c r="H63" s="1"/>
      <c r="I63" s="6"/>
      <c r="J63" s="9" t="s">
        <v>15</v>
      </c>
      <c r="K63" s="13"/>
      <c r="M63" s="13"/>
      <c r="N63" s="1"/>
      <c r="O63" s="6"/>
      <c r="P63" s="9" t="s">
        <v>15</v>
      </c>
      <c r="Q63" s="13"/>
    </row>
    <row r="64" spans="1:17" x14ac:dyDescent="0.25">
      <c r="A64" s="13"/>
      <c r="B64" s="1"/>
      <c r="C64" s="6"/>
      <c r="D64" s="9" t="s">
        <v>15</v>
      </c>
      <c r="E64" s="13"/>
      <c r="G64" s="13"/>
      <c r="H64" s="1"/>
      <c r="I64" s="6"/>
      <c r="J64" s="9" t="s">
        <v>15</v>
      </c>
      <c r="K64" s="13"/>
      <c r="M64" s="13"/>
      <c r="N64" s="1"/>
      <c r="O64" s="6"/>
      <c r="P64" s="9" t="s">
        <v>15</v>
      </c>
      <c r="Q64" s="13"/>
    </row>
    <row r="65" spans="1:17" x14ac:dyDescent="0.25">
      <c r="A65" s="13"/>
      <c r="B65" s="10" t="s">
        <v>3</v>
      </c>
      <c r="C65" s="8">
        <f>SUM(C50:C64)</f>
        <v>1275846</v>
      </c>
      <c r="D65" s="11">
        <f ca="1">SUMIF($D$28:$D$42,"",$C$28:$C$41)</f>
        <v>0</v>
      </c>
      <c r="E65" s="13"/>
      <c r="G65" s="13"/>
      <c r="H65" s="10" t="s">
        <v>3</v>
      </c>
      <c r="I65" s="8">
        <f>SUM(I50:I64)</f>
        <v>1280141</v>
      </c>
      <c r="J65" s="11">
        <f ca="1">SUMIF($D$28:$D$42,"",$C$28:$C$41)</f>
        <v>0</v>
      </c>
      <c r="K65" s="13"/>
      <c r="M65" s="13"/>
      <c r="N65" s="10" t="s">
        <v>3</v>
      </c>
      <c r="O65" s="8">
        <f>SUM(O50:O64)</f>
        <v>1221516</v>
      </c>
      <c r="P65" s="11">
        <f ca="1">SUMIF($D$28:$D$42,"",$C$28:$C$41)</f>
        <v>0</v>
      </c>
      <c r="Q65" s="13"/>
    </row>
    <row r="66" spans="1:17" x14ac:dyDescent="0.25">
      <c r="A66" s="13"/>
      <c r="B66" s="2" t="s">
        <v>0</v>
      </c>
      <c r="C66" s="3">
        <v>1650000</v>
      </c>
      <c r="D66" s="13"/>
      <c r="E66" s="13"/>
      <c r="G66" s="13"/>
      <c r="H66" s="2" t="s">
        <v>0</v>
      </c>
      <c r="I66" s="3">
        <v>1600000</v>
      </c>
      <c r="J66" s="13"/>
      <c r="K66" s="13"/>
      <c r="M66" s="13"/>
      <c r="N66" s="2" t="s">
        <v>0</v>
      </c>
      <c r="O66" s="3">
        <v>1470000</v>
      </c>
      <c r="P66" s="13"/>
      <c r="Q66" s="13"/>
    </row>
    <row r="67" spans="1:17" x14ac:dyDescent="0.25">
      <c r="A67" s="13"/>
      <c r="B67" s="4" t="s">
        <v>1</v>
      </c>
      <c r="C67" s="5">
        <f>C66-C65</f>
        <v>374154</v>
      </c>
      <c r="D67" s="13"/>
      <c r="E67" s="13"/>
      <c r="H67" s="4" t="s">
        <v>1</v>
      </c>
      <c r="I67" s="5">
        <f>I66-I65</f>
        <v>319859</v>
      </c>
      <c r="J67" s="13"/>
      <c r="N67" s="4" t="s">
        <v>1</v>
      </c>
      <c r="O67" s="5">
        <f>O66-O65</f>
        <v>248484</v>
      </c>
      <c r="P67" s="13"/>
    </row>
    <row r="68" spans="1:17" x14ac:dyDescent="0.25">
      <c r="A68" s="13"/>
      <c r="B68" s="13"/>
      <c r="C68" s="13"/>
      <c r="D68" s="13"/>
      <c r="E68" s="13"/>
      <c r="G68" s="13"/>
      <c r="H68" s="13"/>
      <c r="I68" s="13"/>
      <c r="J68" s="13"/>
      <c r="K68" s="13"/>
      <c r="M68" s="13"/>
      <c r="N68" s="13"/>
      <c r="O68" s="13"/>
      <c r="P68" s="13"/>
      <c r="Q68" s="13"/>
    </row>
    <row r="69" spans="1:17" x14ac:dyDescent="0.25">
      <c r="A69" s="13"/>
      <c r="B69" s="38" t="s">
        <v>23</v>
      </c>
      <c r="C69" s="39"/>
      <c r="D69" s="7" t="s">
        <v>2</v>
      </c>
      <c r="E69" s="13"/>
      <c r="G69" s="13"/>
      <c r="H69" s="38" t="s">
        <v>24</v>
      </c>
      <c r="I69" s="39"/>
      <c r="J69" s="7" t="s">
        <v>2</v>
      </c>
      <c r="K69" s="13"/>
      <c r="M69" s="13"/>
      <c r="N69" s="38" t="s">
        <v>25</v>
      </c>
      <c r="O69" s="39"/>
      <c r="P69" s="7" t="s">
        <v>2</v>
      </c>
      <c r="Q69" s="13"/>
    </row>
    <row r="70" spans="1:17" x14ac:dyDescent="0.25">
      <c r="A70" s="13"/>
      <c r="B70" s="1" t="s">
        <v>101</v>
      </c>
      <c r="C70" s="6">
        <v>386036</v>
      </c>
      <c r="D70" s="9" t="s">
        <v>15</v>
      </c>
      <c r="E70" s="13"/>
      <c r="G70" s="13"/>
      <c r="H70" s="1" t="s">
        <v>101</v>
      </c>
      <c r="I70" s="6">
        <v>428669</v>
      </c>
      <c r="J70" s="9" t="s">
        <v>14</v>
      </c>
      <c r="K70" s="13"/>
      <c r="M70" s="13"/>
      <c r="N70" s="1" t="s">
        <v>101</v>
      </c>
      <c r="O70" s="6">
        <v>429183</v>
      </c>
      <c r="P70" s="9" t="s">
        <v>14</v>
      </c>
      <c r="Q70" s="13"/>
    </row>
    <row r="71" spans="1:17" x14ac:dyDescent="0.25">
      <c r="A71" s="13"/>
      <c r="B71" s="1" t="s">
        <v>102</v>
      </c>
      <c r="C71" s="6">
        <v>380000</v>
      </c>
      <c r="D71" s="9" t="s">
        <v>14</v>
      </c>
      <c r="E71" s="13"/>
      <c r="G71" s="13"/>
      <c r="H71" s="1" t="s">
        <v>102</v>
      </c>
      <c r="I71" s="6">
        <v>380000</v>
      </c>
      <c r="J71" s="9" t="s">
        <v>14</v>
      </c>
      <c r="K71" s="13"/>
      <c r="M71" s="13"/>
      <c r="N71" s="1" t="s">
        <v>102</v>
      </c>
      <c r="O71" s="6">
        <v>395722</v>
      </c>
      <c r="P71" s="9" t="s">
        <v>14</v>
      </c>
      <c r="Q71" s="13"/>
    </row>
    <row r="72" spans="1:17" x14ac:dyDescent="0.25">
      <c r="A72" s="13"/>
      <c r="B72" s="1" t="s">
        <v>80</v>
      </c>
      <c r="C72" s="6">
        <v>130000</v>
      </c>
      <c r="D72" s="9" t="s">
        <v>14</v>
      </c>
      <c r="E72" s="13"/>
      <c r="G72" s="13"/>
      <c r="H72" s="1" t="s">
        <v>80</v>
      </c>
      <c r="I72" s="6">
        <v>130000</v>
      </c>
      <c r="J72" s="9" t="s">
        <v>14</v>
      </c>
      <c r="K72" s="13"/>
      <c r="M72" s="13"/>
      <c r="N72" s="1" t="s">
        <v>80</v>
      </c>
      <c r="O72" s="6">
        <v>130000</v>
      </c>
      <c r="P72" s="9" t="s">
        <v>14</v>
      </c>
      <c r="Q72" s="13"/>
    </row>
    <row r="73" spans="1:17" x14ac:dyDescent="0.25">
      <c r="A73" s="13"/>
      <c r="B73" s="1" t="s">
        <v>34</v>
      </c>
      <c r="C73" s="6">
        <v>11193</v>
      </c>
      <c r="D73" s="9" t="s">
        <v>14</v>
      </c>
      <c r="E73" s="13"/>
      <c r="G73" s="13"/>
      <c r="H73" s="1" t="s">
        <v>34</v>
      </c>
      <c r="I73" s="6">
        <v>11193</v>
      </c>
      <c r="J73" s="9" t="s">
        <v>14</v>
      </c>
      <c r="K73" s="13"/>
      <c r="M73" s="13"/>
      <c r="N73" s="1" t="s">
        <v>34</v>
      </c>
      <c r="O73" s="6">
        <v>15990</v>
      </c>
      <c r="P73" s="9" t="s">
        <v>14</v>
      </c>
      <c r="Q73" s="13"/>
    </row>
    <row r="74" spans="1:17" x14ac:dyDescent="0.25">
      <c r="A74" s="13"/>
      <c r="B74" s="1" t="s">
        <v>18</v>
      </c>
      <c r="C74" s="6">
        <v>31345</v>
      </c>
      <c r="D74" s="9" t="s">
        <v>14</v>
      </c>
      <c r="E74" s="13"/>
      <c r="G74" s="13"/>
      <c r="H74" s="1" t="s">
        <v>18</v>
      </c>
      <c r="I74" s="6">
        <v>53032</v>
      </c>
      <c r="J74" s="30" t="s">
        <v>14</v>
      </c>
      <c r="K74" s="13"/>
      <c r="M74" s="13"/>
      <c r="N74" s="1" t="s">
        <v>18</v>
      </c>
      <c r="O74" s="6">
        <v>55000</v>
      </c>
      <c r="P74" s="9" t="s">
        <v>14</v>
      </c>
      <c r="Q74" s="13"/>
    </row>
    <row r="75" spans="1:17" x14ac:dyDescent="0.25">
      <c r="A75" s="13"/>
      <c r="B75" s="1" t="s">
        <v>27</v>
      </c>
      <c r="C75" s="6">
        <v>100000</v>
      </c>
      <c r="D75" s="9" t="s">
        <v>14</v>
      </c>
      <c r="E75" s="13"/>
      <c r="G75" s="13"/>
      <c r="H75" s="1" t="s">
        <v>27</v>
      </c>
      <c r="I75" s="6">
        <v>60000</v>
      </c>
      <c r="J75" s="9" t="s">
        <v>14</v>
      </c>
      <c r="K75" s="13"/>
      <c r="M75" s="13"/>
      <c r="N75" s="1" t="s">
        <v>27</v>
      </c>
      <c r="O75" s="6">
        <v>53850</v>
      </c>
      <c r="P75" s="9" t="s">
        <v>14</v>
      </c>
      <c r="Q75" s="13"/>
    </row>
    <row r="76" spans="1:17" x14ac:dyDescent="0.25">
      <c r="A76" s="13"/>
      <c r="B76" s="1" t="s">
        <v>53</v>
      </c>
      <c r="C76" s="6">
        <v>22800</v>
      </c>
      <c r="D76" s="9" t="s">
        <v>14</v>
      </c>
      <c r="E76" s="13"/>
      <c r="G76" s="13"/>
      <c r="H76" s="1" t="s">
        <v>53</v>
      </c>
      <c r="I76" s="6">
        <v>29400</v>
      </c>
      <c r="J76" s="9" t="s">
        <v>14</v>
      </c>
      <c r="K76" s="13"/>
      <c r="M76" s="13"/>
      <c r="N76" s="1" t="s">
        <v>53</v>
      </c>
      <c r="O76" s="6">
        <v>25900</v>
      </c>
      <c r="P76" s="9" t="s">
        <v>14</v>
      </c>
      <c r="Q76" s="13"/>
    </row>
    <row r="77" spans="1:17" x14ac:dyDescent="0.25">
      <c r="A77" s="13"/>
      <c r="B77" s="1" t="s">
        <v>83</v>
      </c>
      <c r="C77" s="6">
        <v>10410</v>
      </c>
      <c r="D77" s="9" t="s">
        <v>14</v>
      </c>
      <c r="E77" s="13"/>
      <c r="G77" s="13"/>
      <c r="H77" s="1" t="s">
        <v>83</v>
      </c>
      <c r="I77" s="6">
        <v>10050</v>
      </c>
      <c r="J77" s="9" t="s">
        <v>14</v>
      </c>
      <c r="K77" s="13"/>
      <c r="M77" s="13"/>
      <c r="N77" s="1" t="s">
        <v>83</v>
      </c>
      <c r="O77" s="6">
        <v>12950</v>
      </c>
      <c r="P77" s="9" t="s">
        <v>14</v>
      </c>
      <c r="Q77" s="13"/>
    </row>
    <row r="78" spans="1:17" x14ac:dyDescent="0.25">
      <c r="A78" s="13"/>
      <c r="B78" s="1" t="s">
        <v>84</v>
      </c>
      <c r="C78" s="6">
        <v>7350</v>
      </c>
      <c r="D78" s="9" t="s">
        <v>14</v>
      </c>
      <c r="E78" s="13"/>
      <c r="G78" s="13"/>
      <c r="H78" s="1" t="s">
        <v>84</v>
      </c>
      <c r="I78" s="6">
        <v>7600</v>
      </c>
      <c r="J78" s="9" t="s">
        <v>14</v>
      </c>
      <c r="K78" s="13"/>
      <c r="M78" s="13"/>
      <c r="N78" s="1" t="s">
        <v>84</v>
      </c>
      <c r="O78" s="6">
        <v>7360</v>
      </c>
      <c r="P78" s="9" t="s">
        <v>14</v>
      </c>
      <c r="Q78" s="13"/>
    </row>
    <row r="79" spans="1:17" x14ac:dyDescent="0.25">
      <c r="A79" s="13"/>
      <c r="B79" s="1" t="s">
        <v>128</v>
      </c>
      <c r="C79" s="6"/>
      <c r="D79" s="9" t="s">
        <v>14</v>
      </c>
      <c r="E79" s="13"/>
      <c r="G79" s="13"/>
      <c r="H79" s="1" t="s">
        <v>128</v>
      </c>
      <c r="I79" s="6">
        <v>50000</v>
      </c>
      <c r="J79" s="9" t="s">
        <v>14</v>
      </c>
      <c r="K79" s="13"/>
      <c r="M79" s="13"/>
      <c r="N79" s="1" t="s">
        <v>130</v>
      </c>
      <c r="O79" s="6"/>
      <c r="P79" s="9" t="s">
        <v>15</v>
      </c>
      <c r="Q79" s="13"/>
    </row>
    <row r="80" spans="1:17" x14ac:dyDescent="0.25">
      <c r="A80" s="13"/>
      <c r="B80" s="1" t="s">
        <v>129</v>
      </c>
      <c r="C80" s="6">
        <v>15000</v>
      </c>
      <c r="D80" s="9" t="s">
        <v>14</v>
      </c>
      <c r="E80" s="13"/>
      <c r="G80" s="13"/>
      <c r="H80" s="1" t="s">
        <v>129</v>
      </c>
      <c r="I80" s="6">
        <v>46000</v>
      </c>
      <c r="J80" s="9" t="s">
        <v>14</v>
      </c>
      <c r="K80" s="13"/>
      <c r="M80" s="13"/>
      <c r="N80" s="1"/>
      <c r="O80" s="6"/>
      <c r="P80" s="9" t="s">
        <v>15</v>
      </c>
      <c r="Q80" s="13"/>
    </row>
    <row r="81" spans="1:17" x14ac:dyDescent="0.25">
      <c r="A81" s="13"/>
      <c r="B81" s="1" t="s">
        <v>17</v>
      </c>
      <c r="C81" s="6">
        <v>70000</v>
      </c>
      <c r="D81" s="9" t="s">
        <v>14</v>
      </c>
      <c r="E81" s="13"/>
      <c r="G81" s="13"/>
      <c r="H81" s="1" t="s">
        <v>17</v>
      </c>
      <c r="I81" s="6">
        <v>0</v>
      </c>
      <c r="J81" s="9" t="s">
        <v>14</v>
      </c>
      <c r="K81" s="13"/>
      <c r="M81" s="13"/>
      <c r="N81" s="1"/>
      <c r="O81" s="6"/>
      <c r="P81" s="9" t="s">
        <v>15</v>
      </c>
      <c r="Q81" s="13"/>
    </row>
    <row r="82" spans="1:17" x14ac:dyDescent="0.25">
      <c r="A82" s="13"/>
      <c r="B82" s="1" t="s">
        <v>95</v>
      </c>
      <c r="C82" s="6">
        <v>19010</v>
      </c>
      <c r="D82" s="9" t="s">
        <v>14</v>
      </c>
      <c r="E82" s="13"/>
      <c r="G82" s="13"/>
      <c r="H82" s="1" t="s">
        <v>95</v>
      </c>
      <c r="I82" s="6">
        <v>13000</v>
      </c>
      <c r="J82" s="9" t="s">
        <v>14</v>
      </c>
      <c r="K82" s="13"/>
      <c r="M82" s="13"/>
      <c r="N82" s="1"/>
      <c r="O82" s="6"/>
      <c r="P82" s="9" t="s">
        <v>15</v>
      </c>
      <c r="Q82" s="13"/>
    </row>
    <row r="83" spans="1:17" x14ac:dyDescent="0.25">
      <c r="A83" s="13"/>
      <c r="B83" s="1"/>
      <c r="C83" s="6"/>
      <c r="D83" s="9"/>
      <c r="E83" s="13"/>
      <c r="G83" s="13"/>
      <c r="H83" s="1"/>
      <c r="I83" s="6"/>
      <c r="J83" s="9" t="s">
        <v>15</v>
      </c>
      <c r="K83" s="13"/>
      <c r="M83" s="13"/>
      <c r="N83" s="1"/>
      <c r="O83" s="6"/>
      <c r="P83" s="9" t="s">
        <v>15</v>
      </c>
      <c r="Q83" s="13"/>
    </row>
    <row r="84" spans="1:17" x14ac:dyDescent="0.25">
      <c r="A84" s="13"/>
      <c r="B84" s="10" t="s">
        <v>3</v>
      </c>
      <c r="C84" s="8">
        <f>SUM(C70:C83)</f>
        <v>1183144</v>
      </c>
      <c r="D84" s="11">
        <f ca="1">SUMIF($D$28:$D$42,"",$C$28:$C$41)</f>
        <v>0</v>
      </c>
      <c r="E84" s="13"/>
      <c r="G84" s="13"/>
      <c r="H84" s="10" t="s">
        <v>3</v>
      </c>
      <c r="I84" s="8">
        <f>SUM(I70:I83)</f>
        <v>1218944</v>
      </c>
      <c r="J84" s="11">
        <f ca="1">SUMIF($D$28:$D$42,"",$C$28:$C$41)</f>
        <v>0</v>
      </c>
      <c r="K84" s="13"/>
      <c r="M84" s="13"/>
      <c r="N84" s="10" t="s">
        <v>3</v>
      </c>
      <c r="O84" s="8">
        <f>SUM(O70:O83)</f>
        <v>1125955</v>
      </c>
      <c r="P84" s="11">
        <f ca="1">SUMIF($D$28:$D$42,"",$C$28:$C$41)</f>
        <v>0</v>
      </c>
      <c r="Q84" s="13"/>
    </row>
    <row r="85" spans="1:17" x14ac:dyDescent="0.25">
      <c r="B85" s="2" t="s">
        <v>0</v>
      </c>
      <c r="C85" s="3">
        <v>1500000</v>
      </c>
      <c r="D85" s="13"/>
      <c r="H85" s="2" t="s">
        <v>0</v>
      </c>
      <c r="I85" s="3">
        <v>1400000</v>
      </c>
      <c r="J85" s="13"/>
      <c r="N85" s="2" t="s">
        <v>0</v>
      </c>
      <c r="O85" s="3">
        <v>1350000</v>
      </c>
      <c r="P85" s="13"/>
    </row>
    <row r="86" spans="1:17" x14ac:dyDescent="0.25">
      <c r="A86" s="13"/>
      <c r="B86" s="18" t="s">
        <v>1</v>
      </c>
      <c r="C86" s="19">
        <f>C85-C84</f>
        <v>316856</v>
      </c>
      <c r="D86" s="13"/>
      <c r="E86" s="13"/>
      <c r="H86" s="18" t="s">
        <v>1</v>
      </c>
      <c r="I86" s="19">
        <f>I85-I84</f>
        <v>181056</v>
      </c>
      <c r="J86" s="13"/>
      <c r="N86" s="18" t="s">
        <v>1</v>
      </c>
      <c r="O86" s="19">
        <f>O85-O84</f>
        <v>224045</v>
      </c>
      <c r="P86" s="13"/>
    </row>
    <row r="87" spans="1:17" s="21" customFormat="1" x14ac:dyDescent="0.25">
      <c r="A87" s="20"/>
      <c r="B87" s="16"/>
      <c r="C87" s="17"/>
      <c r="D87" s="20"/>
      <c r="E87" s="20"/>
      <c r="H87" s="22"/>
      <c r="I87" s="23"/>
      <c r="J87" s="20"/>
      <c r="N87" s="22"/>
      <c r="O87" s="23"/>
      <c r="P87" s="20"/>
    </row>
    <row r="88" spans="1:17" x14ac:dyDescent="0.25">
      <c r="A88" s="13"/>
      <c r="B88" s="38" t="s">
        <v>86</v>
      </c>
      <c r="C88" s="39"/>
      <c r="D88" s="7" t="s">
        <v>2</v>
      </c>
      <c r="E88" s="13"/>
    </row>
    <row r="89" spans="1:17" x14ac:dyDescent="0.25">
      <c r="A89" s="13"/>
      <c r="B89" s="1" t="s">
        <v>87</v>
      </c>
      <c r="C89" s="6">
        <v>300000</v>
      </c>
      <c r="D89" s="9" t="s">
        <v>14</v>
      </c>
      <c r="E89" s="13"/>
    </row>
    <row r="90" spans="1:17" x14ac:dyDescent="0.25">
      <c r="A90" s="13"/>
      <c r="B90" s="1" t="s">
        <v>88</v>
      </c>
      <c r="C90" s="6">
        <v>239000</v>
      </c>
      <c r="D90" s="9" t="s">
        <v>15</v>
      </c>
      <c r="E90" s="13"/>
    </row>
    <row r="91" spans="1:17" x14ac:dyDescent="0.25">
      <c r="A91" s="13"/>
      <c r="B91" s="1" t="s">
        <v>89</v>
      </c>
      <c r="C91" s="6">
        <v>38421</v>
      </c>
      <c r="D91" s="9" t="s">
        <v>15</v>
      </c>
      <c r="E91" s="13"/>
      <c r="H91" s="28">
        <v>239000</v>
      </c>
    </row>
    <row r="92" spans="1:17" x14ac:dyDescent="0.25">
      <c r="A92" s="13"/>
      <c r="B92" s="1" t="s">
        <v>75</v>
      </c>
      <c r="C92" s="6">
        <v>400000</v>
      </c>
      <c r="D92" s="9" t="s">
        <v>15</v>
      </c>
      <c r="E92" s="13"/>
      <c r="H92" s="28">
        <v>38421</v>
      </c>
    </row>
    <row r="93" spans="1:17" x14ac:dyDescent="0.25">
      <c r="A93" s="13"/>
      <c r="B93" s="1" t="s">
        <v>61</v>
      </c>
      <c r="C93" s="6">
        <v>440000</v>
      </c>
      <c r="D93" s="9" t="s">
        <v>15</v>
      </c>
      <c r="E93" s="13"/>
      <c r="H93" s="28">
        <v>400000</v>
      </c>
    </row>
    <row r="94" spans="1:17" x14ac:dyDescent="0.25">
      <c r="A94" s="13"/>
      <c r="B94" s="1" t="s">
        <v>90</v>
      </c>
      <c r="C94" s="6">
        <v>58028</v>
      </c>
      <c r="D94" s="9" t="s">
        <v>15</v>
      </c>
      <c r="E94" s="13"/>
      <c r="H94" s="28">
        <v>440000</v>
      </c>
    </row>
    <row r="95" spans="1:17" x14ac:dyDescent="0.25">
      <c r="A95" s="13"/>
      <c r="B95" s="1"/>
      <c r="C95" s="6"/>
      <c r="D95" s="9" t="s">
        <v>15</v>
      </c>
      <c r="E95" s="13"/>
      <c r="H95" s="28">
        <v>58028</v>
      </c>
    </row>
    <row r="96" spans="1:17" x14ac:dyDescent="0.25">
      <c r="A96" s="13"/>
      <c r="B96" s="1"/>
      <c r="C96" s="6"/>
      <c r="D96" s="9" t="s">
        <v>15</v>
      </c>
      <c r="E96" s="13"/>
    </row>
    <row r="97" spans="1:9" x14ac:dyDescent="0.25">
      <c r="A97" s="13"/>
      <c r="B97" s="1"/>
      <c r="C97" s="6"/>
      <c r="D97" s="9" t="s">
        <v>15</v>
      </c>
      <c r="E97" s="13"/>
      <c r="H97" t="s">
        <v>91</v>
      </c>
    </row>
    <row r="98" spans="1:9" x14ac:dyDescent="0.25">
      <c r="A98" s="13"/>
      <c r="B98" s="1"/>
      <c r="C98" s="6"/>
      <c r="D98" s="9" t="s">
        <v>15</v>
      </c>
      <c r="E98" s="13"/>
      <c r="H98" s="29">
        <f>SUM(H91:H95)</f>
        <v>1175449</v>
      </c>
    </row>
    <row r="99" spans="1:9" x14ac:dyDescent="0.25">
      <c r="A99" s="13"/>
      <c r="B99" s="1"/>
      <c r="C99" s="6"/>
      <c r="D99" s="9" t="s">
        <v>15</v>
      </c>
      <c r="E99" s="13"/>
      <c r="H99" s="27">
        <f>(H98/8)</f>
        <v>146931.125</v>
      </c>
      <c r="I99" t="s">
        <v>92</v>
      </c>
    </row>
    <row r="100" spans="1:9" x14ac:dyDescent="0.25">
      <c r="A100" s="13"/>
      <c r="B100" s="1"/>
      <c r="C100" s="6"/>
      <c r="D100" s="9" t="s">
        <v>15</v>
      </c>
      <c r="E100" s="13"/>
    </row>
    <row r="101" spans="1:9" x14ac:dyDescent="0.25">
      <c r="A101" s="13"/>
      <c r="B101" s="1"/>
      <c r="C101" s="6"/>
      <c r="D101" s="9" t="s">
        <v>15</v>
      </c>
      <c r="E101" s="13"/>
    </row>
    <row r="102" spans="1:9" x14ac:dyDescent="0.25">
      <c r="A102" s="13"/>
      <c r="B102" s="1"/>
      <c r="C102" s="6"/>
      <c r="D102" s="9" t="s">
        <v>15</v>
      </c>
      <c r="E102" s="13"/>
    </row>
    <row r="103" spans="1:9" x14ac:dyDescent="0.25">
      <c r="A103" s="13"/>
      <c r="B103" s="10" t="s">
        <v>3</v>
      </c>
      <c r="C103" s="8">
        <f>SUM(C89:C102)</f>
        <v>1475449</v>
      </c>
      <c r="D103" s="11">
        <f ca="1">SUMIF($D$28:$D$42,"",$C$28:$C$41)</f>
        <v>0</v>
      </c>
      <c r="E103" s="13"/>
    </row>
    <row r="104" spans="1:9" x14ac:dyDescent="0.25">
      <c r="B104" s="2" t="s">
        <v>0</v>
      </c>
      <c r="C104" s="3">
        <v>0</v>
      </c>
      <c r="D104" s="13"/>
    </row>
    <row r="105" spans="1:9" x14ac:dyDescent="0.25">
      <c r="B105" s="4" t="s">
        <v>1</v>
      </c>
      <c r="C105" s="26">
        <f>C103-C104</f>
        <v>1475449</v>
      </c>
      <c r="D105" s="13"/>
    </row>
  </sheetData>
  <mergeCells count="13">
    <mergeCell ref="B3:C3"/>
    <mergeCell ref="H3:I3"/>
    <mergeCell ref="N3:O3"/>
    <mergeCell ref="B27:C27"/>
    <mergeCell ref="H27:I27"/>
    <mergeCell ref="N27:O27"/>
    <mergeCell ref="B88:C88"/>
    <mergeCell ref="B49:C49"/>
    <mergeCell ref="H49:I49"/>
    <mergeCell ref="N49:O49"/>
    <mergeCell ref="B69:C69"/>
    <mergeCell ref="H69:I69"/>
    <mergeCell ref="N69:O69"/>
  </mergeCells>
  <conditionalFormatting sqref="D4:D17">
    <cfRule type="cellIs" dxfId="77" priority="1" operator="equal">
      <formula>"EN DEUDA"</formula>
    </cfRule>
    <cfRule type="cellIs" dxfId="76" priority="2" operator="equal">
      <formula>"PAGADO"</formula>
    </cfRule>
  </conditionalFormatting>
  <conditionalFormatting sqref="D28:D42">
    <cfRule type="cellIs" dxfId="75" priority="21" operator="equal">
      <formula>"EN DEUDA"</formula>
    </cfRule>
    <cfRule type="cellIs" dxfId="74" priority="22" operator="equal">
      <formula>"PAGADO"</formula>
    </cfRule>
  </conditionalFormatting>
  <conditionalFormatting sqref="D50:D64">
    <cfRule type="cellIs" dxfId="73" priority="15" operator="equal">
      <formula>"EN DEUDA"</formula>
    </cfRule>
    <cfRule type="cellIs" dxfId="72" priority="16" operator="equal">
      <formula>"PAGADO"</formula>
    </cfRule>
  </conditionalFormatting>
  <conditionalFormatting sqref="D70:D83">
    <cfRule type="cellIs" dxfId="71" priority="9" operator="equal">
      <formula>"EN DEUDA"</formula>
    </cfRule>
    <cfRule type="cellIs" dxfId="70" priority="10" operator="equal">
      <formula>"PAGADO"</formula>
    </cfRule>
  </conditionalFormatting>
  <conditionalFormatting sqref="D89:D102">
    <cfRule type="cellIs" dxfId="69" priority="3" operator="equal">
      <formula>"EN DEUDA"</formula>
    </cfRule>
    <cfRule type="cellIs" dxfId="68" priority="4" operator="equal">
      <formula>"PAGADO"</formula>
    </cfRule>
  </conditionalFormatting>
  <conditionalFormatting sqref="J4:J17">
    <cfRule type="cellIs" dxfId="67" priority="25" operator="equal">
      <formula>"EN DEUDA"</formula>
    </cfRule>
    <cfRule type="cellIs" dxfId="66" priority="26" operator="equal">
      <formula>"PAGADO"</formula>
    </cfRule>
  </conditionalFormatting>
  <conditionalFormatting sqref="J28:J42">
    <cfRule type="cellIs" dxfId="65" priority="19" operator="equal">
      <formula>"EN DEUDA"</formula>
    </cfRule>
    <cfRule type="cellIs" dxfId="64" priority="20" operator="equal">
      <formula>"PAGADO"</formula>
    </cfRule>
  </conditionalFormatting>
  <conditionalFormatting sqref="J50:J64">
    <cfRule type="cellIs" dxfId="63" priority="13" operator="equal">
      <formula>"EN DEUDA"</formula>
    </cfRule>
    <cfRule type="cellIs" dxfId="62" priority="14" operator="equal">
      <formula>"PAGADO"</formula>
    </cfRule>
  </conditionalFormatting>
  <conditionalFormatting sqref="J70:J83">
    <cfRule type="cellIs" dxfId="61" priority="7" operator="equal">
      <formula>"EN DEUDA"</formula>
    </cfRule>
    <cfRule type="cellIs" dxfId="60" priority="8" operator="equal">
      <formula>"PAGADO"</formula>
    </cfRule>
  </conditionalFormatting>
  <conditionalFormatting sqref="P4:P17">
    <cfRule type="cellIs" dxfId="59" priority="23" operator="equal">
      <formula>"EN DEUDA"</formula>
    </cfRule>
    <cfRule type="cellIs" dxfId="58" priority="24" operator="equal">
      <formula>"PAGADO"</formula>
    </cfRule>
  </conditionalFormatting>
  <conditionalFormatting sqref="P28:P42">
    <cfRule type="cellIs" dxfId="57" priority="17" operator="equal">
      <formula>"EN DEUDA"</formula>
    </cfRule>
    <cfRule type="cellIs" dxfId="56" priority="18" operator="equal">
      <formula>"PAGADO"</formula>
    </cfRule>
  </conditionalFormatting>
  <conditionalFormatting sqref="P50:P64">
    <cfRule type="cellIs" dxfId="55" priority="11" operator="equal">
      <formula>"EN DEUDA"</formula>
    </cfRule>
    <cfRule type="cellIs" dxfId="54" priority="12" operator="equal">
      <formula>"PAGADO"</formula>
    </cfRule>
  </conditionalFormatting>
  <conditionalFormatting sqref="P70:P83">
    <cfRule type="cellIs" dxfId="53" priority="5" operator="equal">
      <formula>"EN DEUDA"</formula>
    </cfRule>
    <cfRule type="cellIs" dxfId="52" priority="6" operator="equal">
      <formula>"PAGADO"</formula>
    </cfRule>
  </conditionalFormatting>
  <dataValidations count="1">
    <dataValidation type="list" allowBlank="1" showInputMessage="1" showErrorMessage="1" sqref="D50:D64 J50:J64 J4:J17 D28:D42 J70:J83 P4:P17 J28:J42 P70:P83 D4:D17 P28:P42 D89:D102 D70:D83 P50:P64" xr:uid="{6DA00C65-AB18-4E04-AEA5-C574AD6C1B33}">
      <formula1>"PAGADO,EN DEUDA"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960D-BEF4-4540-8EDB-67D2AA35E55B}">
  <dimension ref="A2:T105"/>
  <sheetViews>
    <sheetView showGridLines="0" topLeftCell="I57" zoomScaleNormal="100" zoomScaleSheetLayoutView="90" workbookViewId="0">
      <selection activeCell="S85" sqref="S85"/>
    </sheetView>
  </sheetViews>
  <sheetFormatPr baseColWidth="10" defaultColWidth="11.42578125" defaultRowHeight="15" x14ac:dyDescent="0.25"/>
  <cols>
    <col min="1" max="1" width="3.42578125" customWidth="1"/>
    <col min="2" max="2" width="33.28515625" customWidth="1"/>
    <col min="3" max="3" width="13.140625" bestFit="1" customWidth="1"/>
    <col min="4" max="4" width="13" bestFit="1" customWidth="1"/>
    <col min="5" max="5" width="5.28515625" customWidth="1"/>
    <col min="6" max="6" width="4.140625" bestFit="1" customWidth="1"/>
    <col min="7" max="7" width="5.42578125" customWidth="1"/>
    <col min="8" max="8" width="31.42578125" bestFit="1" customWidth="1"/>
    <col min="9" max="9" width="13" bestFit="1" customWidth="1"/>
    <col min="10" max="10" width="10.28515625" bestFit="1" customWidth="1"/>
    <col min="11" max="11" width="6.85546875" customWidth="1"/>
    <col min="12" max="12" width="5.140625" customWidth="1"/>
    <col min="13" max="13" width="5.28515625" customWidth="1"/>
    <col min="14" max="14" width="33.42578125" customWidth="1"/>
    <col min="15" max="15" width="19.42578125" bestFit="1" customWidth="1"/>
    <col min="16" max="16" width="10.28515625" bestFit="1" customWidth="1"/>
    <col min="17" max="17" width="18.28515625" customWidth="1"/>
    <col min="19" max="19" width="14.5703125" bestFit="1" customWidth="1"/>
  </cols>
  <sheetData>
    <row r="2" spans="1:17" x14ac:dyDescent="0.25">
      <c r="A2" s="13"/>
      <c r="B2" s="13"/>
      <c r="C2" s="13"/>
      <c r="D2" s="13"/>
      <c r="E2" s="13"/>
      <c r="G2" s="13"/>
      <c r="H2" s="13"/>
      <c r="I2" s="13"/>
      <c r="J2" s="13"/>
      <c r="K2" s="13"/>
      <c r="M2" s="13"/>
      <c r="N2" s="13"/>
      <c r="O2" s="13"/>
      <c r="P2" s="13"/>
      <c r="Q2" s="13"/>
    </row>
    <row r="3" spans="1:17" x14ac:dyDescent="0.25">
      <c r="A3" s="13"/>
      <c r="B3" s="38" t="s">
        <v>4</v>
      </c>
      <c r="C3" s="39"/>
      <c r="D3" s="7" t="s">
        <v>2</v>
      </c>
      <c r="E3" s="13"/>
      <c r="G3" s="13"/>
      <c r="H3" s="38" t="s">
        <v>5</v>
      </c>
      <c r="I3" s="39"/>
      <c r="J3" s="7" t="s">
        <v>2</v>
      </c>
      <c r="K3" s="13"/>
      <c r="M3" s="13"/>
      <c r="N3" s="38" t="s">
        <v>6</v>
      </c>
      <c r="O3" s="39"/>
      <c r="P3" s="7" t="s">
        <v>2</v>
      </c>
      <c r="Q3" s="13"/>
    </row>
    <row r="4" spans="1:17" x14ac:dyDescent="0.25">
      <c r="A4" s="13"/>
      <c r="B4" s="1" t="s">
        <v>101</v>
      </c>
      <c r="C4" s="6">
        <v>386036</v>
      </c>
      <c r="D4" s="9" t="s">
        <v>14</v>
      </c>
      <c r="E4" s="13"/>
      <c r="G4" s="13"/>
      <c r="H4" s="1" t="s">
        <v>102</v>
      </c>
      <c r="I4" s="6">
        <v>380000</v>
      </c>
      <c r="J4" s="9" t="s">
        <v>15</v>
      </c>
      <c r="K4" s="13"/>
      <c r="M4" s="13"/>
      <c r="N4" s="1" t="s">
        <v>102</v>
      </c>
      <c r="O4" s="6">
        <v>380000</v>
      </c>
      <c r="P4" s="9" t="s">
        <v>14</v>
      </c>
      <c r="Q4" s="13"/>
    </row>
    <row r="5" spans="1:17" x14ac:dyDescent="0.25">
      <c r="A5" s="13"/>
      <c r="B5" s="1" t="s">
        <v>102</v>
      </c>
      <c r="C5" s="6">
        <v>380000</v>
      </c>
      <c r="D5" s="9" t="s">
        <v>14</v>
      </c>
      <c r="E5" s="13"/>
      <c r="G5" s="13"/>
      <c r="H5" s="1" t="s">
        <v>80</v>
      </c>
      <c r="I5" s="6">
        <v>130000</v>
      </c>
      <c r="J5" s="9" t="s">
        <v>15</v>
      </c>
      <c r="K5" s="13"/>
      <c r="M5" s="13"/>
      <c r="N5" s="1" t="s">
        <v>80</v>
      </c>
      <c r="O5" s="6">
        <v>130000</v>
      </c>
      <c r="P5" s="9" t="s">
        <v>14</v>
      </c>
      <c r="Q5" s="13"/>
    </row>
    <row r="6" spans="1:17" x14ac:dyDescent="0.25">
      <c r="A6" s="13"/>
      <c r="B6" s="1" t="s">
        <v>80</v>
      </c>
      <c r="C6" s="6">
        <v>130000</v>
      </c>
      <c r="D6" s="9" t="s">
        <v>14</v>
      </c>
      <c r="E6" s="13"/>
      <c r="G6" s="13"/>
      <c r="H6" s="1" t="s">
        <v>34</v>
      </c>
      <c r="I6" s="6">
        <v>15990</v>
      </c>
      <c r="J6" s="9" t="s">
        <v>14</v>
      </c>
      <c r="K6" s="13"/>
      <c r="M6" s="13"/>
      <c r="N6" s="1" t="s">
        <v>34</v>
      </c>
      <c r="O6" s="6">
        <v>15990</v>
      </c>
      <c r="P6" s="9" t="s">
        <v>14</v>
      </c>
      <c r="Q6" s="13"/>
    </row>
    <row r="7" spans="1:17" x14ac:dyDescent="0.25">
      <c r="A7" s="13"/>
      <c r="B7" s="1" t="s">
        <v>34</v>
      </c>
      <c r="C7" s="6">
        <v>15990</v>
      </c>
      <c r="D7" s="9" t="s">
        <v>14</v>
      </c>
      <c r="E7" s="13"/>
      <c r="G7" s="13"/>
      <c r="H7" s="1" t="s">
        <v>18</v>
      </c>
      <c r="I7" s="6"/>
      <c r="J7" s="9" t="s">
        <v>15</v>
      </c>
      <c r="K7" s="13"/>
      <c r="M7" s="13"/>
      <c r="N7" s="1" t="s">
        <v>18</v>
      </c>
      <c r="O7" s="6">
        <v>48581</v>
      </c>
      <c r="P7" s="9" t="s">
        <v>14</v>
      </c>
      <c r="Q7" s="13"/>
    </row>
    <row r="8" spans="1:17" x14ac:dyDescent="0.25">
      <c r="A8" s="13"/>
      <c r="B8" s="1" t="s">
        <v>18</v>
      </c>
      <c r="C8" s="6">
        <v>26475</v>
      </c>
      <c r="D8" s="9" t="s">
        <v>14</v>
      </c>
      <c r="E8" s="13"/>
      <c r="G8" s="13"/>
      <c r="H8" s="1" t="s">
        <v>27</v>
      </c>
      <c r="I8" s="6">
        <v>19000</v>
      </c>
      <c r="J8" s="9" t="s">
        <v>14</v>
      </c>
      <c r="K8" s="13"/>
      <c r="M8" s="13"/>
      <c r="N8" s="1" t="s">
        <v>27</v>
      </c>
      <c r="O8" s="6">
        <v>18221</v>
      </c>
      <c r="P8" s="9" t="s">
        <v>14</v>
      </c>
      <c r="Q8" s="13"/>
    </row>
    <row r="9" spans="1:17" x14ac:dyDescent="0.25">
      <c r="A9" s="13"/>
      <c r="B9" s="1" t="s">
        <v>27</v>
      </c>
      <c r="C9" s="6">
        <v>88140</v>
      </c>
      <c r="D9" s="9" t="s">
        <v>14</v>
      </c>
      <c r="E9" s="13"/>
      <c r="G9" s="13"/>
      <c r="H9" s="1" t="s">
        <v>53</v>
      </c>
      <c r="I9" s="6"/>
      <c r="J9" s="9" t="s">
        <v>15</v>
      </c>
      <c r="K9" s="13"/>
      <c r="M9" s="13"/>
      <c r="N9" s="1" t="s">
        <v>53</v>
      </c>
      <c r="O9" s="6"/>
      <c r="P9" s="9" t="s">
        <v>15</v>
      </c>
      <c r="Q9" s="13"/>
    </row>
    <row r="10" spans="1:17" x14ac:dyDescent="0.25">
      <c r="A10" s="13"/>
      <c r="B10" s="1" t="s">
        <v>53</v>
      </c>
      <c r="C10" s="6">
        <v>28300</v>
      </c>
      <c r="D10" s="9" t="s">
        <v>14</v>
      </c>
      <c r="E10" s="13"/>
      <c r="G10" s="13"/>
      <c r="H10" s="1" t="s">
        <v>83</v>
      </c>
      <c r="I10" s="6"/>
      <c r="J10" s="9" t="s">
        <v>15</v>
      </c>
      <c r="K10" s="13"/>
      <c r="M10" s="13"/>
      <c r="N10" s="1" t="s">
        <v>83</v>
      </c>
      <c r="O10" s="6"/>
      <c r="P10" s="9" t="s">
        <v>15</v>
      </c>
      <c r="Q10" s="13"/>
    </row>
    <row r="11" spans="1:17" x14ac:dyDescent="0.25">
      <c r="A11" s="13"/>
      <c r="B11" s="1" t="s">
        <v>83</v>
      </c>
      <c r="C11" s="6">
        <v>12800</v>
      </c>
      <c r="D11" s="9" t="s">
        <v>14</v>
      </c>
      <c r="E11" s="13"/>
      <c r="G11" s="13"/>
      <c r="H11" s="1" t="s">
        <v>84</v>
      </c>
      <c r="I11" s="6"/>
      <c r="J11" s="9" t="s">
        <v>15</v>
      </c>
      <c r="K11" s="13"/>
      <c r="M11" s="13"/>
      <c r="N11" s="1" t="s">
        <v>84</v>
      </c>
      <c r="O11" s="6"/>
      <c r="P11" s="9" t="s">
        <v>15</v>
      </c>
      <c r="Q11" s="13"/>
    </row>
    <row r="12" spans="1:17" x14ac:dyDescent="0.25">
      <c r="A12" s="13"/>
      <c r="B12" s="1" t="s">
        <v>84</v>
      </c>
      <c r="C12" s="6">
        <v>7730</v>
      </c>
      <c r="D12" s="9" t="s">
        <v>14</v>
      </c>
      <c r="E12" s="13"/>
      <c r="G12" s="13"/>
      <c r="H12" s="1" t="s">
        <v>138</v>
      </c>
      <c r="I12" s="6">
        <v>87166</v>
      </c>
      <c r="J12" s="9" t="s">
        <v>15</v>
      </c>
      <c r="K12" s="13"/>
      <c r="M12" s="13"/>
      <c r="N12" s="1" t="s">
        <v>138</v>
      </c>
      <c r="O12" s="6">
        <v>87166</v>
      </c>
      <c r="P12" s="9" t="s">
        <v>15</v>
      </c>
      <c r="Q12" s="13"/>
    </row>
    <row r="13" spans="1:17" x14ac:dyDescent="0.25">
      <c r="A13" s="13"/>
      <c r="B13" s="1" t="s">
        <v>130</v>
      </c>
      <c r="C13" s="6"/>
      <c r="D13" s="9" t="s">
        <v>15</v>
      </c>
      <c r="E13" s="13"/>
      <c r="G13" s="13"/>
      <c r="H13" s="1"/>
      <c r="I13" s="6"/>
      <c r="J13" s="9" t="s">
        <v>15</v>
      </c>
      <c r="K13" s="13"/>
      <c r="M13" s="13"/>
      <c r="N13" s="1" t="s">
        <v>139</v>
      </c>
      <c r="O13" s="6">
        <v>26335</v>
      </c>
      <c r="P13" s="9" t="s">
        <v>14</v>
      </c>
      <c r="Q13" s="12"/>
    </row>
    <row r="14" spans="1:17" x14ac:dyDescent="0.25">
      <c r="A14" s="13"/>
      <c r="B14" s="1" t="s">
        <v>137</v>
      </c>
      <c r="C14" s="6">
        <v>20000</v>
      </c>
      <c r="D14" s="9" t="s">
        <v>15</v>
      </c>
      <c r="E14" s="13"/>
      <c r="G14" s="13"/>
      <c r="H14" s="1"/>
      <c r="I14" s="6"/>
      <c r="J14" s="9" t="s">
        <v>15</v>
      </c>
      <c r="K14" s="13"/>
      <c r="M14" s="13"/>
      <c r="N14" s="1"/>
      <c r="O14" s="6"/>
      <c r="P14" s="9" t="s">
        <v>15</v>
      </c>
      <c r="Q14" s="13"/>
    </row>
    <row r="15" spans="1:17" x14ac:dyDescent="0.25">
      <c r="A15" s="13"/>
      <c r="B15" s="1" t="s">
        <v>131</v>
      </c>
      <c r="C15" s="6">
        <v>83190</v>
      </c>
      <c r="D15" s="9" t="s">
        <v>14</v>
      </c>
      <c r="E15" s="13"/>
      <c r="G15" s="13"/>
      <c r="H15" s="1"/>
      <c r="I15" s="6"/>
      <c r="J15" s="9" t="s">
        <v>15</v>
      </c>
      <c r="K15" s="13"/>
      <c r="M15" s="13"/>
      <c r="N15" s="1"/>
      <c r="O15" s="28"/>
      <c r="P15" s="9" t="s">
        <v>15</v>
      </c>
      <c r="Q15" s="13"/>
    </row>
    <row r="16" spans="1:17" x14ac:dyDescent="0.25">
      <c r="A16" s="13"/>
      <c r="B16" s="1" t="s">
        <v>129</v>
      </c>
      <c r="C16" s="6">
        <v>20000</v>
      </c>
      <c r="D16" s="9" t="s">
        <v>14</v>
      </c>
      <c r="E16" s="13"/>
      <c r="G16" s="13"/>
      <c r="H16" s="1"/>
      <c r="I16" s="6"/>
      <c r="J16" s="9" t="s">
        <v>15</v>
      </c>
      <c r="K16" s="13"/>
      <c r="M16" s="13"/>
      <c r="N16" s="1"/>
      <c r="O16" s="28"/>
      <c r="P16" s="9" t="s">
        <v>15</v>
      </c>
      <c r="Q16" s="13"/>
    </row>
    <row r="17" spans="1:17" x14ac:dyDescent="0.25">
      <c r="A17" s="13"/>
      <c r="B17" s="1" t="s">
        <v>132</v>
      </c>
      <c r="C17" s="6">
        <v>80000</v>
      </c>
      <c r="D17" s="9" t="s">
        <v>15</v>
      </c>
      <c r="E17" s="13"/>
      <c r="G17" s="13"/>
      <c r="H17" s="1"/>
      <c r="I17" s="6"/>
      <c r="J17" s="9" t="s">
        <v>15</v>
      </c>
      <c r="K17" s="13"/>
      <c r="M17" s="13"/>
      <c r="N17" s="1"/>
      <c r="O17" s="6"/>
      <c r="P17" s="9" t="s">
        <v>15</v>
      </c>
      <c r="Q17" s="13"/>
    </row>
    <row r="18" spans="1:17" x14ac:dyDescent="0.25">
      <c r="A18" s="13"/>
      <c r="B18" s="10" t="s">
        <v>3</v>
      </c>
      <c r="C18" s="8">
        <f>SUM(C4:C17)</f>
        <v>1278661</v>
      </c>
      <c r="D18" s="11">
        <f ca="1">SUMIF($D$4:$D$17,"",$C$5:$C$17)</f>
        <v>0</v>
      </c>
      <c r="E18" s="13"/>
      <c r="G18" s="13"/>
      <c r="H18" s="10" t="s">
        <v>3</v>
      </c>
      <c r="I18" s="8">
        <f>SUM(I4:I17)</f>
        <v>632156</v>
      </c>
      <c r="J18" s="11">
        <f>SUMIF($J$4:$J$17,"",$I$4:$I$17)</f>
        <v>0</v>
      </c>
      <c r="K18" s="13"/>
      <c r="M18" s="13"/>
      <c r="N18" s="10" t="s">
        <v>3</v>
      </c>
      <c r="O18" s="8">
        <f>SUM(O4:O17)</f>
        <v>706293</v>
      </c>
      <c r="P18" s="11">
        <f ca="1">SUMIF($P$4:$P$17,"",$O$4:$O$15)</f>
        <v>0</v>
      </c>
      <c r="Q18" s="12"/>
    </row>
    <row r="19" spans="1:17" x14ac:dyDescent="0.25">
      <c r="A19" s="13"/>
      <c r="B19" s="2" t="s">
        <v>0</v>
      </c>
      <c r="C19" s="3">
        <v>1900000</v>
      </c>
      <c r="D19" s="12"/>
      <c r="E19" s="13"/>
      <c r="G19" s="13"/>
      <c r="H19" s="2" t="s">
        <v>0</v>
      </c>
      <c r="I19" s="3">
        <v>1900000</v>
      </c>
      <c r="J19" s="13"/>
      <c r="K19" s="13"/>
      <c r="M19" s="13"/>
      <c r="N19" s="2" t="s">
        <v>0</v>
      </c>
      <c r="O19" s="3">
        <v>1900000</v>
      </c>
      <c r="P19" s="13"/>
      <c r="Q19" s="13"/>
    </row>
    <row r="20" spans="1:17" x14ac:dyDescent="0.25">
      <c r="A20" s="13"/>
      <c r="B20" s="4" t="s">
        <v>1</v>
      </c>
      <c r="C20" s="5">
        <f>C19-C18</f>
        <v>621339</v>
      </c>
      <c r="D20" s="13"/>
      <c r="E20" s="13"/>
      <c r="G20" s="13"/>
      <c r="H20" s="4" t="s">
        <v>1</v>
      </c>
      <c r="I20" s="5">
        <f>I19-I18</f>
        <v>1267844</v>
      </c>
      <c r="J20" s="13"/>
      <c r="K20" s="13"/>
      <c r="M20" s="13"/>
      <c r="N20" s="4" t="s">
        <v>1</v>
      </c>
      <c r="O20" s="5">
        <f>O19-O18</f>
        <v>1193707</v>
      </c>
      <c r="P20" s="13"/>
      <c r="Q20" s="13"/>
    </row>
    <row r="21" spans="1:17" x14ac:dyDescent="0.25">
      <c r="A21" s="13"/>
      <c r="B21" s="13"/>
      <c r="C21" s="13"/>
      <c r="D21" s="13"/>
      <c r="E21" s="13"/>
      <c r="G21" s="13"/>
      <c r="H21" s="13"/>
      <c r="I21" s="13"/>
      <c r="J21" s="13"/>
      <c r="K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G22" s="13"/>
      <c r="H22" s="13"/>
      <c r="I22" s="13"/>
      <c r="J22" s="13"/>
      <c r="K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G23" s="13"/>
      <c r="H23" s="13"/>
      <c r="I23" s="13"/>
      <c r="J23" s="13"/>
      <c r="K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G24" s="13"/>
      <c r="H24" s="13"/>
      <c r="I24" s="13"/>
      <c r="J24" s="13"/>
      <c r="K24" s="13"/>
      <c r="M24" s="13"/>
      <c r="N24" s="13"/>
      <c r="O24" s="13"/>
      <c r="P24" s="13"/>
      <c r="Q24" s="13"/>
    </row>
    <row r="26" spans="1:17" x14ac:dyDescent="0.25">
      <c r="A26" s="13"/>
      <c r="B26" s="13"/>
      <c r="C26" s="13"/>
      <c r="D26" s="13"/>
      <c r="E26" s="13"/>
      <c r="G26" s="13"/>
      <c r="H26" s="13"/>
      <c r="I26" s="13"/>
      <c r="J26" s="13"/>
      <c r="K26" s="13"/>
      <c r="M26" s="13"/>
      <c r="N26" s="13"/>
      <c r="O26" s="13"/>
      <c r="P26" s="13"/>
      <c r="Q26" s="13"/>
    </row>
    <row r="27" spans="1:17" x14ac:dyDescent="0.25">
      <c r="A27" s="13"/>
      <c r="B27" s="38" t="s">
        <v>7</v>
      </c>
      <c r="C27" s="39"/>
      <c r="D27" s="7" t="s">
        <v>2</v>
      </c>
      <c r="E27" s="13"/>
      <c r="G27" s="13"/>
      <c r="H27" s="38" t="s">
        <v>8</v>
      </c>
      <c r="I27" s="39"/>
      <c r="J27" s="7" t="s">
        <v>2</v>
      </c>
      <c r="K27" s="13"/>
      <c r="M27" s="13"/>
      <c r="N27" s="38" t="s">
        <v>9</v>
      </c>
      <c r="O27" s="39"/>
      <c r="P27" s="7" t="s">
        <v>2</v>
      </c>
      <c r="Q27" s="13"/>
    </row>
    <row r="28" spans="1:17" x14ac:dyDescent="0.25">
      <c r="A28" s="13"/>
      <c r="B28" s="1" t="s">
        <v>102</v>
      </c>
      <c r="C28" s="6">
        <v>380000</v>
      </c>
      <c r="D28" s="9" t="s">
        <v>14</v>
      </c>
      <c r="E28" s="13"/>
      <c r="G28" s="13"/>
      <c r="H28" s="1" t="s">
        <v>102</v>
      </c>
      <c r="I28" s="6">
        <v>387744</v>
      </c>
      <c r="J28" s="9" t="s">
        <v>14</v>
      </c>
      <c r="K28" s="13"/>
      <c r="M28" s="13"/>
      <c r="N28" s="1"/>
      <c r="O28" s="6"/>
      <c r="P28" s="9" t="s">
        <v>15</v>
      </c>
      <c r="Q28" s="13"/>
    </row>
    <row r="29" spans="1:17" x14ac:dyDescent="0.25">
      <c r="A29" s="13"/>
      <c r="B29" s="1" t="s">
        <v>80</v>
      </c>
      <c r="C29" s="6">
        <v>150000</v>
      </c>
      <c r="D29" s="9" t="s">
        <v>14</v>
      </c>
      <c r="E29" s="13"/>
      <c r="G29" s="13"/>
      <c r="H29" s="1" t="s">
        <v>80</v>
      </c>
      <c r="I29" s="6">
        <v>130000</v>
      </c>
      <c r="J29" s="9" t="s">
        <v>14</v>
      </c>
      <c r="K29" s="13"/>
      <c r="M29" s="13"/>
      <c r="N29" s="1"/>
      <c r="O29" s="6"/>
      <c r="P29" s="9" t="s">
        <v>15</v>
      </c>
      <c r="Q29" s="13"/>
    </row>
    <row r="30" spans="1:17" x14ac:dyDescent="0.25">
      <c r="A30" s="13"/>
      <c r="B30" s="1" t="s">
        <v>34</v>
      </c>
      <c r="C30" s="6">
        <v>22000</v>
      </c>
      <c r="D30" s="9" t="s">
        <v>14</v>
      </c>
      <c r="E30" s="13"/>
      <c r="G30" s="13"/>
      <c r="H30" s="1" t="s">
        <v>34</v>
      </c>
      <c r="I30" s="6">
        <v>15990</v>
      </c>
      <c r="J30" s="9" t="s">
        <v>14</v>
      </c>
      <c r="K30" s="13"/>
      <c r="M30" s="13"/>
      <c r="N30" s="1"/>
      <c r="O30" s="6"/>
      <c r="P30" s="9" t="s">
        <v>15</v>
      </c>
      <c r="Q30" s="13"/>
    </row>
    <row r="31" spans="1:17" x14ac:dyDescent="0.25">
      <c r="A31" s="13"/>
      <c r="B31" s="1" t="s">
        <v>18</v>
      </c>
      <c r="C31" s="6">
        <v>84000</v>
      </c>
      <c r="D31" s="9" t="s">
        <v>14</v>
      </c>
      <c r="E31" s="13"/>
      <c r="G31" s="13"/>
      <c r="H31" s="1" t="s">
        <v>18</v>
      </c>
      <c r="I31" s="6">
        <v>87266</v>
      </c>
      <c r="J31" s="9" t="s">
        <v>14</v>
      </c>
      <c r="K31" s="13"/>
      <c r="M31" s="13"/>
      <c r="N31" s="1"/>
      <c r="O31" s="6"/>
      <c r="P31" s="9" t="s">
        <v>15</v>
      </c>
      <c r="Q31" s="13"/>
    </row>
    <row r="32" spans="1:17" x14ac:dyDescent="0.25">
      <c r="A32" s="13"/>
      <c r="B32" s="1" t="s">
        <v>27</v>
      </c>
      <c r="C32" s="6">
        <v>60000</v>
      </c>
      <c r="D32" s="9" t="s">
        <v>14</v>
      </c>
      <c r="E32" s="13"/>
      <c r="G32" s="13"/>
      <c r="H32" s="1" t="s">
        <v>27</v>
      </c>
      <c r="I32" s="6">
        <v>20787</v>
      </c>
      <c r="J32" s="9" t="s">
        <v>14</v>
      </c>
      <c r="K32" s="13"/>
      <c r="M32" s="13"/>
      <c r="N32" s="1"/>
      <c r="O32" s="6"/>
      <c r="P32" s="9" t="s">
        <v>15</v>
      </c>
      <c r="Q32" s="13"/>
    </row>
    <row r="33" spans="1:17" x14ac:dyDescent="0.25">
      <c r="A33" s="13"/>
      <c r="B33" s="1" t="s">
        <v>53</v>
      </c>
      <c r="C33" s="6">
        <v>1700</v>
      </c>
      <c r="D33" s="9" t="s">
        <v>14</v>
      </c>
      <c r="E33" s="13"/>
      <c r="G33" s="13"/>
      <c r="H33" s="1" t="s">
        <v>53</v>
      </c>
      <c r="I33" s="6">
        <v>22200</v>
      </c>
      <c r="J33" s="9" t="s">
        <v>14</v>
      </c>
      <c r="K33" s="13"/>
      <c r="M33" s="13"/>
      <c r="N33" s="1"/>
      <c r="O33" s="6"/>
      <c r="P33" s="9" t="s">
        <v>15</v>
      </c>
      <c r="Q33" s="13"/>
    </row>
    <row r="34" spans="1:17" x14ac:dyDescent="0.25">
      <c r="A34" s="13"/>
      <c r="B34" s="1" t="s">
        <v>83</v>
      </c>
      <c r="C34" s="6">
        <v>4000</v>
      </c>
      <c r="D34" s="9" t="s">
        <v>14</v>
      </c>
      <c r="E34" s="13"/>
      <c r="G34" s="13"/>
      <c r="H34" s="1" t="s">
        <v>83</v>
      </c>
      <c r="I34" s="6">
        <v>5990</v>
      </c>
      <c r="J34" s="9" t="s">
        <v>14</v>
      </c>
      <c r="K34" s="13"/>
      <c r="M34" s="13"/>
      <c r="N34" s="1"/>
      <c r="O34" s="6"/>
      <c r="P34" s="9" t="s">
        <v>15</v>
      </c>
      <c r="Q34" s="13"/>
    </row>
    <row r="35" spans="1:17" x14ac:dyDescent="0.25">
      <c r="A35" s="13"/>
      <c r="B35" s="1" t="s">
        <v>84</v>
      </c>
      <c r="C35" s="6">
        <v>0</v>
      </c>
      <c r="D35" s="9" t="s">
        <v>15</v>
      </c>
      <c r="E35" s="13"/>
      <c r="G35" s="13"/>
      <c r="H35" s="1" t="s">
        <v>84</v>
      </c>
      <c r="I35" s="6">
        <v>14820</v>
      </c>
      <c r="J35" s="9" t="s">
        <v>14</v>
      </c>
      <c r="K35" s="13"/>
      <c r="M35" s="13"/>
      <c r="N35" s="1"/>
      <c r="O35" s="6"/>
      <c r="P35" s="9" t="s">
        <v>15</v>
      </c>
      <c r="Q35" s="13"/>
    </row>
    <row r="36" spans="1:17" x14ac:dyDescent="0.25">
      <c r="A36" s="13"/>
      <c r="B36" s="1" t="s">
        <v>138</v>
      </c>
      <c r="C36" s="6">
        <v>60000</v>
      </c>
      <c r="D36" s="9" t="s">
        <v>14</v>
      </c>
      <c r="E36" s="13"/>
      <c r="G36" s="13"/>
      <c r="H36" s="1" t="s">
        <v>139</v>
      </c>
      <c r="I36" s="6">
        <v>88000</v>
      </c>
      <c r="J36" s="9" t="s">
        <v>14</v>
      </c>
      <c r="K36" s="13"/>
      <c r="M36" s="13"/>
      <c r="N36" s="1"/>
      <c r="O36" s="6"/>
      <c r="P36" s="9" t="s">
        <v>15</v>
      </c>
      <c r="Q36" s="13"/>
    </row>
    <row r="37" spans="1:17" x14ac:dyDescent="0.25">
      <c r="A37" s="13"/>
      <c r="B37" s="1" t="s">
        <v>139</v>
      </c>
      <c r="C37" s="6">
        <v>100000</v>
      </c>
      <c r="D37" s="9" t="s">
        <v>14</v>
      </c>
      <c r="E37" s="13"/>
      <c r="G37" s="13"/>
      <c r="H37" s="1" t="s">
        <v>141</v>
      </c>
      <c r="I37" s="6">
        <v>60000</v>
      </c>
      <c r="J37" s="9" t="s">
        <v>15</v>
      </c>
      <c r="K37" s="13"/>
      <c r="M37" s="13"/>
      <c r="N37" s="1"/>
      <c r="O37" s="6"/>
      <c r="P37" s="9" t="s">
        <v>15</v>
      </c>
      <c r="Q37" s="13"/>
    </row>
    <row r="38" spans="1:17" x14ac:dyDescent="0.25">
      <c r="A38" s="13"/>
      <c r="B38" s="1" t="s">
        <v>140</v>
      </c>
      <c r="C38" s="6">
        <v>130000</v>
      </c>
      <c r="D38" s="9" t="s">
        <v>15</v>
      </c>
      <c r="E38" s="13"/>
      <c r="G38" s="13"/>
      <c r="H38" s="1" t="s">
        <v>142</v>
      </c>
      <c r="I38" s="6">
        <v>27990</v>
      </c>
      <c r="J38" s="9" t="s">
        <v>14</v>
      </c>
      <c r="K38" s="13"/>
      <c r="M38" s="13"/>
      <c r="N38" s="1"/>
      <c r="O38" s="6"/>
      <c r="P38" s="9" t="s">
        <v>15</v>
      </c>
      <c r="Q38" s="13"/>
    </row>
    <row r="39" spans="1:17" x14ac:dyDescent="0.25">
      <c r="A39" s="13"/>
      <c r="B39" s="1"/>
      <c r="C39" s="6"/>
      <c r="D39" s="9" t="s">
        <v>15</v>
      </c>
      <c r="E39" s="13"/>
      <c r="G39" s="13"/>
      <c r="H39" s="1"/>
      <c r="I39" s="6"/>
      <c r="J39" s="9" t="s">
        <v>15</v>
      </c>
      <c r="K39" s="13"/>
      <c r="M39" s="13"/>
      <c r="N39" s="1"/>
      <c r="O39" s="6"/>
      <c r="P39" s="9" t="s">
        <v>15</v>
      </c>
      <c r="Q39" s="13"/>
    </row>
    <row r="40" spans="1:17" x14ac:dyDescent="0.25">
      <c r="A40" s="13"/>
      <c r="B40" s="1"/>
      <c r="C40" s="6"/>
      <c r="D40" s="9" t="s">
        <v>15</v>
      </c>
      <c r="E40" s="13"/>
      <c r="G40" s="13"/>
      <c r="H40" s="1"/>
      <c r="I40" s="6"/>
      <c r="J40" s="9" t="s">
        <v>15</v>
      </c>
      <c r="K40" s="13"/>
      <c r="M40" s="13"/>
      <c r="N40" s="1"/>
      <c r="O40" s="6"/>
      <c r="P40" s="9" t="s">
        <v>15</v>
      </c>
      <c r="Q40" s="13"/>
    </row>
    <row r="41" spans="1:17" x14ac:dyDescent="0.25">
      <c r="A41" s="13"/>
      <c r="B41" s="1"/>
      <c r="C41" s="6"/>
      <c r="D41" s="9" t="s">
        <v>15</v>
      </c>
      <c r="E41" s="13"/>
      <c r="G41" s="13"/>
      <c r="H41" s="1"/>
      <c r="I41" s="6"/>
      <c r="J41" s="9" t="s">
        <v>15</v>
      </c>
      <c r="K41" s="13"/>
      <c r="M41" s="13"/>
      <c r="N41" s="1"/>
      <c r="O41" s="6"/>
      <c r="P41" s="9" t="s">
        <v>15</v>
      </c>
      <c r="Q41" s="13"/>
    </row>
    <row r="42" spans="1:17" x14ac:dyDescent="0.25">
      <c r="A42" s="13"/>
      <c r="B42" s="1"/>
      <c r="C42" s="6"/>
      <c r="D42" s="9" t="s">
        <v>15</v>
      </c>
      <c r="E42" s="13"/>
      <c r="G42" s="13"/>
      <c r="H42" s="1"/>
      <c r="I42" s="6"/>
      <c r="J42" s="9" t="s">
        <v>15</v>
      </c>
      <c r="K42" s="13"/>
      <c r="M42" s="13"/>
      <c r="N42" s="1"/>
      <c r="O42" s="6"/>
      <c r="P42" s="9" t="s">
        <v>15</v>
      </c>
      <c r="Q42" s="13"/>
    </row>
    <row r="43" spans="1:17" x14ac:dyDescent="0.25">
      <c r="A43" s="13"/>
      <c r="B43" s="10" t="s">
        <v>3</v>
      </c>
      <c r="C43" s="8">
        <f>SUM(C28:C42)</f>
        <v>991700</v>
      </c>
      <c r="D43" s="11">
        <f ca="1">SUMIF($D$28:$D$42,"",$C$28:$C$41)</f>
        <v>0</v>
      </c>
      <c r="E43" s="13"/>
      <c r="G43" s="13"/>
      <c r="H43" s="10" t="s">
        <v>3</v>
      </c>
      <c r="I43" s="8">
        <f>SUM(I28:I42)</f>
        <v>860787</v>
      </c>
      <c r="J43" s="14">
        <f>SUMIF($J$28:$J$42,"",$I$28:$I$42)</f>
        <v>0</v>
      </c>
      <c r="K43" s="13"/>
      <c r="M43" s="13"/>
      <c r="N43" s="10" t="s">
        <v>3</v>
      </c>
      <c r="O43" s="8">
        <f>SUM(O28:O42)</f>
        <v>0</v>
      </c>
      <c r="P43" s="14">
        <f>SUMIF($P$28:$P$42,"",$O$28:$O$42)</f>
        <v>0</v>
      </c>
      <c r="Q43" s="13"/>
    </row>
    <row r="44" spans="1:17" x14ac:dyDescent="0.25">
      <c r="A44" s="13"/>
      <c r="B44" s="2" t="s">
        <v>0</v>
      </c>
      <c r="C44" s="3">
        <v>1900000</v>
      </c>
      <c r="D44" s="13"/>
      <c r="E44" s="13"/>
      <c r="G44" s="13"/>
      <c r="H44" s="2" t="s">
        <v>0</v>
      </c>
      <c r="I44" s="3">
        <v>1900000</v>
      </c>
      <c r="J44" s="13"/>
      <c r="K44" s="13"/>
      <c r="M44" s="13"/>
      <c r="N44" s="2" t="s">
        <v>0</v>
      </c>
      <c r="O44" s="3"/>
      <c r="P44" s="13"/>
      <c r="Q44" s="13"/>
    </row>
    <row r="45" spans="1:17" x14ac:dyDescent="0.25">
      <c r="A45" s="13"/>
      <c r="B45" s="4" t="s">
        <v>1</v>
      </c>
      <c r="C45" s="5">
        <f>C44-C43</f>
        <v>908300</v>
      </c>
      <c r="D45" s="13"/>
      <c r="E45" s="13"/>
      <c r="G45" s="13"/>
      <c r="H45" s="4" t="s">
        <v>1</v>
      </c>
      <c r="I45" s="5">
        <f>I44-I43</f>
        <v>1039213</v>
      </c>
      <c r="J45" s="13"/>
      <c r="K45" s="13"/>
      <c r="M45" s="13"/>
      <c r="N45" s="4" t="s">
        <v>1</v>
      </c>
      <c r="O45" s="5">
        <f>O44-O43</f>
        <v>0</v>
      </c>
      <c r="P45" s="13"/>
      <c r="Q45" s="13"/>
    </row>
    <row r="46" spans="1:17" x14ac:dyDescent="0.25">
      <c r="A46" s="13"/>
      <c r="B46" s="13"/>
      <c r="C46" s="13"/>
      <c r="D46" s="13"/>
      <c r="E46" s="13"/>
      <c r="G46" s="13"/>
      <c r="H46" s="13"/>
      <c r="I46" s="13"/>
      <c r="J46" s="13"/>
      <c r="K46" s="13"/>
      <c r="M46" s="13"/>
      <c r="N46" s="13"/>
      <c r="O46" s="13"/>
      <c r="P46" s="13"/>
      <c r="Q46" s="13"/>
    </row>
    <row r="48" spans="1:17" x14ac:dyDescent="0.25">
      <c r="A48" s="13"/>
      <c r="B48" s="13"/>
      <c r="C48" s="13"/>
      <c r="D48" s="13"/>
      <c r="E48" s="13"/>
      <c r="G48" s="13"/>
      <c r="H48" s="13"/>
      <c r="I48" s="13"/>
      <c r="J48" s="13"/>
      <c r="K48" s="13"/>
      <c r="M48" s="13"/>
      <c r="N48" s="13"/>
      <c r="O48" s="13"/>
      <c r="P48" s="13"/>
      <c r="Q48" s="13"/>
    </row>
    <row r="49" spans="1:17" x14ac:dyDescent="0.25">
      <c r="A49" s="13"/>
      <c r="B49" s="38" t="s">
        <v>20</v>
      </c>
      <c r="C49" s="39"/>
      <c r="D49" s="7" t="s">
        <v>2</v>
      </c>
      <c r="E49" s="13"/>
      <c r="G49" s="13"/>
      <c r="H49" s="38" t="s">
        <v>21</v>
      </c>
      <c r="I49" s="39"/>
      <c r="J49" s="7" t="s">
        <v>2</v>
      </c>
      <c r="K49" s="13"/>
      <c r="M49" s="13"/>
      <c r="N49" s="38" t="s">
        <v>22</v>
      </c>
      <c r="O49" s="39"/>
      <c r="P49" s="7" t="s">
        <v>2</v>
      </c>
      <c r="Q49" s="13"/>
    </row>
    <row r="50" spans="1:17" x14ac:dyDescent="0.25">
      <c r="A50" s="13"/>
      <c r="B50" s="1" t="s">
        <v>102</v>
      </c>
      <c r="C50" s="6">
        <v>380000</v>
      </c>
      <c r="D50" s="9" t="s">
        <v>14</v>
      </c>
      <c r="E50" s="13"/>
      <c r="G50" s="13"/>
      <c r="H50" s="1" t="s">
        <v>102</v>
      </c>
      <c r="I50" s="6">
        <f>380000+7301</f>
        <v>387301</v>
      </c>
      <c r="J50" s="9" t="s">
        <v>14</v>
      </c>
      <c r="K50" s="13"/>
      <c r="M50" s="13"/>
      <c r="N50" s="1" t="s">
        <v>102</v>
      </c>
      <c r="O50" s="6">
        <v>380000</v>
      </c>
      <c r="P50" s="9" t="s">
        <v>14</v>
      </c>
      <c r="Q50" s="24"/>
    </row>
    <row r="51" spans="1:17" x14ac:dyDescent="0.25">
      <c r="A51" s="13"/>
      <c r="B51" s="1" t="s">
        <v>80</v>
      </c>
      <c r="C51" s="6">
        <v>130000</v>
      </c>
      <c r="D51" s="9" t="s">
        <v>14</v>
      </c>
      <c r="E51" s="13"/>
      <c r="G51" s="13"/>
      <c r="H51" s="1" t="s">
        <v>80</v>
      </c>
      <c r="I51" s="6">
        <v>130000</v>
      </c>
      <c r="J51" s="9" t="s">
        <v>14</v>
      </c>
      <c r="K51" s="13"/>
      <c r="M51" s="13"/>
      <c r="N51" s="1" t="s">
        <v>80</v>
      </c>
      <c r="O51" s="6">
        <v>130000</v>
      </c>
      <c r="P51" s="9" t="s">
        <v>14</v>
      </c>
      <c r="Q51" s="24"/>
    </row>
    <row r="52" spans="1:17" x14ac:dyDescent="0.25">
      <c r="A52" s="13"/>
      <c r="B52" s="1" t="s">
        <v>34</v>
      </c>
      <c r="C52" s="6">
        <v>23180</v>
      </c>
      <c r="D52" s="9" t="s">
        <v>14</v>
      </c>
      <c r="E52" s="13"/>
      <c r="G52" s="13"/>
      <c r="H52" s="1" t="s">
        <v>34</v>
      </c>
      <c r="I52" s="6">
        <v>23180</v>
      </c>
      <c r="J52" s="9" t="s">
        <v>14</v>
      </c>
      <c r="K52" s="13"/>
      <c r="M52" s="13"/>
      <c r="N52" s="1" t="s">
        <v>34</v>
      </c>
      <c r="O52" s="6">
        <v>23180</v>
      </c>
      <c r="P52" s="9" t="s">
        <v>14</v>
      </c>
      <c r="Q52" s="24"/>
    </row>
    <row r="53" spans="1:17" x14ac:dyDescent="0.25">
      <c r="A53" s="13"/>
      <c r="B53" s="1" t="s">
        <v>18</v>
      </c>
      <c r="C53" s="6">
        <v>71064</v>
      </c>
      <c r="D53" s="9" t="s">
        <v>14</v>
      </c>
      <c r="E53" s="13"/>
      <c r="G53" s="13"/>
      <c r="H53" s="1" t="s">
        <v>18</v>
      </c>
      <c r="I53" s="6">
        <v>60000</v>
      </c>
      <c r="J53" s="9" t="s">
        <v>14</v>
      </c>
      <c r="K53" s="13"/>
      <c r="M53" s="13"/>
      <c r="N53" s="1" t="s">
        <v>18</v>
      </c>
      <c r="O53" s="6">
        <v>19449</v>
      </c>
      <c r="P53" s="9" t="s">
        <v>14</v>
      </c>
      <c r="Q53" s="24"/>
    </row>
    <row r="54" spans="1:17" x14ac:dyDescent="0.25">
      <c r="A54" s="13"/>
      <c r="B54" s="1" t="s">
        <v>27</v>
      </c>
      <c r="C54" s="6">
        <v>24577</v>
      </c>
      <c r="D54" s="9" t="s">
        <v>14</v>
      </c>
      <c r="E54" s="13"/>
      <c r="G54" s="13"/>
      <c r="H54" s="1" t="s">
        <v>27</v>
      </c>
      <c r="I54" s="6">
        <v>24276</v>
      </c>
      <c r="J54" s="9" t="s">
        <v>14</v>
      </c>
      <c r="K54" s="13"/>
      <c r="M54" s="13"/>
      <c r="N54" s="1" t="s">
        <v>27</v>
      </c>
      <c r="O54" s="6">
        <v>30000</v>
      </c>
      <c r="P54" s="9" t="s">
        <v>14</v>
      </c>
      <c r="Q54" s="24"/>
    </row>
    <row r="55" spans="1:17" x14ac:dyDescent="0.25">
      <c r="A55" s="13"/>
      <c r="B55" s="1" t="s">
        <v>53</v>
      </c>
      <c r="C55" s="6">
        <v>15700</v>
      </c>
      <c r="D55" s="9" t="s">
        <v>14</v>
      </c>
      <c r="E55" s="13"/>
      <c r="G55" s="13"/>
      <c r="H55" s="1" t="s">
        <v>53</v>
      </c>
      <c r="I55" s="6">
        <v>49000</v>
      </c>
      <c r="J55" s="9" t="s">
        <v>14</v>
      </c>
      <c r="K55" s="13"/>
      <c r="M55" s="13"/>
      <c r="N55" s="1" t="s">
        <v>145</v>
      </c>
      <c r="O55" s="6">
        <v>30100</v>
      </c>
      <c r="P55" s="9" t="s">
        <v>14</v>
      </c>
      <c r="Q55" s="24"/>
    </row>
    <row r="56" spans="1:17" x14ac:dyDescent="0.25">
      <c r="A56" s="13"/>
      <c r="B56" s="1" t="s">
        <v>83</v>
      </c>
      <c r="C56" s="6">
        <v>1230</v>
      </c>
      <c r="D56" s="9" t="s">
        <v>14</v>
      </c>
      <c r="E56" s="13"/>
      <c r="G56" s="13"/>
      <c r="H56" s="1" t="s">
        <v>83</v>
      </c>
      <c r="I56" s="6">
        <v>6020</v>
      </c>
      <c r="J56" s="9" t="s">
        <v>14</v>
      </c>
      <c r="K56" s="13"/>
      <c r="M56" s="13"/>
      <c r="N56" s="1" t="s">
        <v>83</v>
      </c>
      <c r="O56" s="6">
        <v>6120</v>
      </c>
      <c r="P56" s="9" t="s">
        <v>14</v>
      </c>
      <c r="Q56" s="24"/>
    </row>
    <row r="57" spans="1:17" x14ac:dyDescent="0.25">
      <c r="A57" s="13"/>
      <c r="B57" s="1" t="s">
        <v>84</v>
      </c>
      <c r="C57" s="6">
        <v>24240</v>
      </c>
      <c r="D57" s="9" t="s">
        <v>14</v>
      </c>
      <c r="E57" s="13"/>
      <c r="G57" s="13"/>
      <c r="H57" s="1" t="s">
        <v>84</v>
      </c>
      <c r="I57" s="15" t="s">
        <v>144</v>
      </c>
      <c r="J57" s="9" t="s">
        <v>14</v>
      </c>
      <c r="K57" s="13"/>
      <c r="M57" s="13"/>
      <c r="N57" s="1" t="s">
        <v>84</v>
      </c>
      <c r="O57" s="6">
        <v>46290</v>
      </c>
      <c r="P57" s="9" t="s">
        <v>14</v>
      </c>
      <c r="Q57" s="24"/>
    </row>
    <row r="58" spans="1:17" x14ac:dyDescent="0.25">
      <c r="A58" s="13"/>
      <c r="B58" s="1" t="s">
        <v>139</v>
      </c>
      <c r="C58" s="6"/>
      <c r="D58" s="9" t="s">
        <v>15</v>
      </c>
      <c r="E58" s="13"/>
      <c r="G58" s="13"/>
      <c r="H58" s="1" t="s">
        <v>139</v>
      </c>
      <c r="I58" s="6">
        <v>0</v>
      </c>
      <c r="J58" s="9" t="s">
        <v>15</v>
      </c>
      <c r="K58" s="13"/>
      <c r="M58" s="13"/>
      <c r="N58" s="1" t="s">
        <v>146</v>
      </c>
      <c r="O58" s="6">
        <v>0</v>
      </c>
      <c r="P58" s="9" t="s">
        <v>15</v>
      </c>
      <c r="Q58" s="24"/>
    </row>
    <row r="59" spans="1:17" x14ac:dyDescent="0.25">
      <c r="A59" s="13"/>
      <c r="B59" s="1" t="s">
        <v>82</v>
      </c>
      <c r="C59" s="6">
        <v>8812</v>
      </c>
      <c r="D59" s="9" t="s">
        <v>14</v>
      </c>
      <c r="E59" s="13"/>
      <c r="G59" s="13"/>
      <c r="H59" s="1" t="s">
        <v>82</v>
      </c>
      <c r="I59" s="6">
        <v>37793</v>
      </c>
      <c r="J59" s="9" t="s">
        <v>14</v>
      </c>
      <c r="K59" s="13"/>
      <c r="M59" s="13"/>
      <c r="N59" s="1" t="s">
        <v>82</v>
      </c>
      <c r="O59" s="6">
        <v>37793</v>
      </c>
      <c r="P59" s="9" t="s">
        <v>14</v>
      </c>
      <c r="Q59" s="24"/>
    </row>
    <row r="60" spans="1:17" x14ac:dyDescent="0.25">
      <c r="A60" s="13"/>
      <c r="B60" s="1"/>
      <c r="C60" s="6"/>
      <c r="D60" s="9" t="s">
        <v>15</v>
      </c>
      <c r="E60" s="13"/>
      <c r="G60" s="13"/>
      <c r="H60" s="1" t="s">
        <v>143</v>
      </c>
      <c r="I60" s="6">
        <v>34000</v>
      </c>
      <c r="J60" s="9" t="s">
        <v>14</v>
      </c>
      <c r="K60" s="13"/>
      <c r="M60" s="13"/>
      <c r="N60" s="1" t="s">
        <v>114</v>
      </c>
      <c r="O60" s="6">
        <v>40000</v>
      </c>
      <c r="P60" s="9" t="s">
        <v>14</v>
      </c>
      <c r="Q60" s="24"/>
    </row>
    <row r="61" spans="1:17" x14ac:dyDescent="0.25">
      <c r="A61" s="13"/>
      <c r="B61" s="1"/>
      <c r="C61" s="6"/>
      <c r="D61" s="9" t="s">
        <v>15</v>
      </c>
      <c r="E61" s="13"/>
      <c r="G61" s="13"/>
      <c r="H61" s="1"/>
      <c r="I61" s="6"/>
      <c r="J61" s="9" t="s">
        <v>15</v>
      </c>
      <c r="K61" s="13"/>
      <c r="M61" s="13"/>
      <c r="N61" s="1"/>
      <c r="O61" s="6"/>
      <c r="P61" s="9" t="s">
        <v>15</v>
      </c>
      <c r="Q61" s="13"/>
    </row>
    <row r="62" spans="1:17" x14ac:dyDescent="0.25">
      <c r="A62" s="13"/>
      <c r="B62" s="1"/>
      <c r="C62" s="6"/>
      <c r="D62" s="9" t="s">
        <v>15</v>
      </c>
      <c r="E62" s="13"/>
      <c r="G62" s="13"/>
      <c r="H62" s="1"/>
      <c r="I62" s="6"/>
      <c r="J62" s="9" t="s">
        <v>15</v>
      </c>
      <c r="K62" s="13"/>
      <c r="M62" s="13"/>
      <c r="N62" s="1"/>
      <c r="O62" s="6"/>
      <c r="P62" s="9" t="s">
        <v>15</v>
      </c>
      <c r="Q62" s="13"/>
    </row>
    <row r="63" spans="1:17" x14ac:dyDescent="0.25">
      <c r="A63" s="13"/>
      <c r="B63" s="1"/>
      <c r="C63" s="6"/>
      <c r="D63" s="9" t="s">
        <v>15</v>
      </c>
      <c r="E63" s="13"/>
      <c r="G63" s="13"/>
      <c r="H63" s="1"/>
      <c r="I63" s="6"/>
      <c r="J63" s="9" t="s">
        <v>15</v>
      </c>
      <c r="K63" s="13"/>
      <c r="M63" s="13"/>
      <c r="N63" s="1"/>
      <c r="O63" s="6"/>
      <c r="P63" s="9" t="s">
        <v>15</v>
      </c>
      <c r="Q63" s="13"/>
    </row>
    <row r="64" spans="1:17" x14ac:dyDescent="0.25">
      <c r="A64" s="13"/>
      <c r="B64" s="1"/>
      <c r="C64" s="6"/>
      <c r="D64" s="9" t="s">
        <v>15</v>
      </c>
      <c r="E64" s="13"/>
      <c r="G64" s="13"/>
      <c r="H64" s="1"/>
      <c r="I64" s="6"/>
      <c r="J64" s="9" t="s">
        <v>15</v>
      </c>
      <c r="K64" s="13"/>
      <c r="M64" s="13"/>
      <c r="N64" s="1"/>
      <c r="O64" s="6"/>
      <c r="P64" s="9" t="s">
        <v>15</v>
      </c>
      <c r="Q64" s="13"/>
    </row>
    <row r="65" spans="1:20" x14ac:dyDescent="0.25">
      <c r="A65" s="13"/>
      <c r="B65" s="10" t="s">
        <v>3</v>
      </c>
      <c r="C65" s="8">
        <f>SUM(C50:C64)</f>
        <v>678803</v>
      </c>
      <c r="D65" s="11">
        <f ca="1">SUMIF($D$28:$D$42,"",$C$28:$C$41)</f>
        <v>0</v>
      </c>
      <c r="E65" s="13"/>
      <c r="G65" s="13"/>
      <c r="H65" s="10" t="s">
        <v>3</v>
      </c>
      <c r="I65" s="8">
        <f>SUM(I50:I64)</f>
        <v>751570</v>
      </c>
      <c r="J65" s="11">
        <f ca="1">SUMIF($D$28:$D$42,"",$C$28:$C$41)</f>
        <v>0</v>
      </c>
      <c r="K65" s="13"/>
      <c r="M65" s="13"/>
      <c r="N65" s="10" t="s">
        <v>3</v>
      </c>
      <c r="O65" s="8">
        <f>SUM(O50:O64)</f>
        <v>742932</v>
      </c>
      <c r="P65" s="11">
        <f ca="1">SUMIF($D$28:$D$42,"",$C$28:$C$41)</f>
        <v>0</v>
      </c>
      <c r="Q65" s="13"/>
    </row>
    <row r="66" spans="1:20" x14ac:dyDescent="0.25">
      <c r="A66" s="13"/>
      <c r="B66" s="2" t="s">
        <v>0</v>
      </c>
      <c r="C66" s="3">
        <v>1280000</v>
      </c>
      <c r="D66" s="13"/>
      <c r="E66" s="13"/>
      <c r="G66" s="13"/>
      <c r="H66" s="2" t="s">
        <v>0</v>
      </c>
      <c r="I66" s="3">
        <v>1200000</v>
      </c>
      <c r="J66" s="13"/>
      <c r="K66" s="13"/>
      <c r="M66" s="13"/>
      <c r="N66" s="2" t="s">
        <v>0</v>
      </c>
      <c r="O66" s="3">
        <v>1200000</v>
      </c>
      <c r="P66" s="13"/>
      <c r="Q66" s="13"/>
    </row>
    <row r="67" spans="1:20" x14ac:dyDescent="0.25">
      <c r="A67" s="13"/>
      <c r="B67" s="4" t="s">
        <v>1</v>
      </c>
      <c r="C67" s="5">
        <f>C66-C65</f>
        <v>601197</v>
      </c>
      <c r="D67" s="13"/>
      <c r="E67" s="13"/>
      <c r="H67" s="4" t="s">
        <v>1</v>
      </c>
      <c r="I67" s="5">
        <f>I66-I65</f>
        <v>448430</v>
      </c>
      <c r="J67" s="13"/>
      <c r="N67" s="4" t="s">
        <v>1</v>
      </c>
      <c r="O67" s="5">
        <f>O66-O65</f>
        <v>457068</v>
      </c>
      <c r="P67" s="13"/>
    </row>
    <row r="68" spans="1:20" x14ac:dyDescent="0.25">
      <c r="A68" s="13"/>
      <c r="B68" s="13"/>
      <c r="C68" s="13"/>
      <c r="D68" s="13"/>
      <c r="E68" s="13"/>
      <c r="G68" s="13"/>
      <c r="H68" s="13"/>
      <c r="I68" s="13"/>
      <c r="J68" s="13"/>
      <c r="K68" s="13"/>
      <c r="M68" s="13"/>
      <c r="N68" s="13"/>
      <c r="O68" s="13"/>
      <c r="P68" s="13"/>
      <c r="Q68" s="13"/>
    </row>
    <row r="69" spans="1:20" x14ac:dyDescent="0.25">
      <c r="A69" s="13"/>
      <c r="B69" s="38" t="s">
        <v>23</v>
      </c>
      <c r="C69" s="39"/>
      <c r="D69" s="7" t="s">
        <v>2</v>
      </c>
      <c r="E69" s="13"/>
      <c r="G69" s="13"/>
      <c r="H69" s="38" t="s">
        <v>24</v>
      </c>
      <c r="I69" s="39"/>
      <c r="J69" s="7" t="s">
        <v>2</v>
      </c>
      <c r="K69" s="13"/>
      <c r="M69" s="13"/>
      <c r="N69" s="38" t="s">
        <v>25</v>
      </c>
      <c r="O69" s="39"/>
      <c r="P69" s="7" t="s">
        <v>2</v>
      </c>
      <c r="Q69" s="13"/>
    </row>
    <row r="70" spans="1:20" x14ac:dyDescent="0.25">
      <c r="A70" s="13"/>
      <c r="B70" s="1" t="s">
        <v>148</v>
      </c>
      <c r="C70" s="6">
        <v>421252</v>
      </c>
      <c r="D70" s="9" t="s">
        <v>14</v>
      </c>
      <c r="E70" s="13"/>
      <c r="G70" s="13"/>
      <c r="H70" s="1" t="s">
        <v>148</v>
      </c>
      <c r="I70" s="6">
        <v>380000</v>
      </c>
      <c r="J70" s="9" t="s">
        <v>14</v>
      </c>
      <c r="K70" s="13"/>
      <c r="M70" s="13"/>
      <c r="N70" s="1" t="s">
        <v>148</v>
      </c>
      <c r="O70" s="6">
        <v>380000</v>
      </c>
      <c r="P70" s="9" t="s">
        <v>14</v>
      </c>
      <c r="Q70" s="13"/>
    </row>
    <row r="71" spans="1:20" x14ac:dyDescent="0.25">
      <c r="A71" s="13"/>
      <c r="B71" s="1" t="s">
        <v>80</v>
      </c>
      <c r="C71" s="6">
        <v>130000</v>
      </c>
      <c r="D71" s="9" t="s">
        <v>14</v>
      </c>
      <c r="E71" s="13"/>
      <c r="G71" s="13"/>
      <c r="H71" s="1" t="s">
        <v>80</v>
      </c>
      <c r="I71" s="6">
        <v>130000</v>
      </c>
      <c r="J71" s="9" t="s">
        <v>14</v>
      </c>
      <c r="K71" s="13"/>
      <c r="M71" s="13"/>
      <c r="N71" s="1" t="s">
        <v>80</v>
      </c>
      <c r="O71" s="6">
        <v>130000</v>
      </c>
      <c r="P71" s="9" t="s">
        <v>14</v>
      </c>
      <c r="Q71" s="13"/>
    </row>
    <row r="72" spans="1:20" x14ac:dyDescent="0.25">
      <c r="A72" s="13"/>
      <c r="B72" s="1" t="s">
        <v>34</v>
      </c>
      <c r="C72" s="6">
        <v>23180</v>
      </c>
      <c r="D72" s="9" t="s">
        <v>14</v>
      </c>
      <c r="E72" s="13"/>
      <c r="G72" s="13"/>
      <c r="H72" s="1" t="s">
        <v>34</v>
      </c>
      <c r="I72" s="6">
        <v>23180</v>
      </c>
      <c r="J72" s="9" t="s">
        <v>14</v>
      </c>
      <c r="K72" s="13"/>
      <c r="M72" s="13"/>
      <c r="N72" s="1" t="s">
        <v>150</v>
      </c>
      <c r="O72" s="6">
        <v>3820</v>
      </c>
      <c r="P72" s="9" t="s">
        <v>14</v>
      </c>
      <c r="Q72" s="13"/>
    </row>
    <row r="73" spans="1:20" x14ac:dyDescent="0.25">
      <c r="A73" s="13"/>
      <c r="B73" s="1" t="s">
        <v>18</v>
      </c>
      <c r="C73" s="6">
        <v>49799</v>
      </c>
      <c r="D73" s="9" t="s">
        <v>14</v>
      </c>
      <c r="E73" s="13"/>
      <c r="G73" s="13"/>
      <c r="H73" s="1" t="s">
        <v>18</v>
      </c>
      <c r="I73" s="6">
        <v>81615</v>
      </c>
      <c r="J73" s="9" t="s">
        <v>14</v>
      </c>
      <c r="K73" s="13"/>
      <c r="M73" s="13"/>
      <c r="N73" s="1" t="s">
        <v>18</v>
      </c>
      <c r="O73" s="6">
        <v>30000</v>
      </c>
      <c r="P73" s="9" t="s">
        <v>14</v>
      </c>
      <c r="Q73" s="13"/>
    </row>
    <row r="74" spans="1:20" x14ac:dyDescent="0.25">
      <c r="A74" s="13"/>
      <c r="B74" s="1" t="s">
        <v>27</v>
      </c>
      <c r="C74" s="6">
        <v>24314</v>
      </c>
      <c r="D74" s="9" t="s">
        <v>14</v>
      </c>
      <c r="E74" s="13"/>
      <c r="G74" s="13"/>
      <c r="H74" s="1" t="s">
        <v>27</v>
      </c>
      <c r="I74" s="6">
        <v>24499</v>
      </c>
      <c r="J74" s="9" t="s">
        <v>14</v>
      </c>
      <c r="K74" s="13"/>
      <c r="M74" s="13"/>
      <c r="N74" s="1" t="s">
        <v>27</v>
      </c>
      <c r="O74" s="6">
        <v>34701</v>
      </c>
      <c r="P74" s="9" t="s">
        <v>14</v>
      </c>
      <c r="Q74" s="13"/>
    </row>
    <row r="75" spans="1:20" x14ac:dyDescent="0.25">
      <c r="A75" s="13"/>
      <c r="B75" s="1" t="s">
        <v>145</v>
      </c>
      <c r="C75" s="6">
        <v>29600</v>
      </c>
      <c r="D75" s="9" t="s">
        <v>14</v>
      </c>
      <c r="E75" s="13"/>
      <c r="G75" s="13"/>
      <c r="H75" s="1" t="s">
        <v>145</v>
      </c>
      <c r="I75" s="6"/>
      <c r="J75" s="9" t="s">
        <v>15</v>
      </c>
      <c r="K75" s="13"/>
      <c r="M75" s="13"/>
      <c r="N75" s="1" t="s">
        <v>145</v>
      </c>
      <c r="O75" s="6">
        <v>57200</v>
      </c>
      <c r="P75" s="9" t="s">
        <v>14</v>
      </c>
      <c r="Q75" s="13"/>
    </row>
    <row r="76" spans="1:20" x14ac:dyDescent="0.25">
      <c r="A76" s="13"/>
      <c r="B76" s="1" t="s">
        <v>83</v>
      </c>
      <c r="C76" s="6">
        <v>5960</v>
      </c>
      <c r="D76" s="9" t="s">
        <v>14</v>
      </c>
      <c r="E76" s="13"/>
      <c r="G76" s="13"/>
      <c r="H76" s="1" t="s">
        <v>83</v>
      </c>
      <c r="I76" s="6">
        <v>8240</v>
      </c>
      <c r="J76" s="9" t="s">
        <v>14</v>
      </c>
      <c r="K76" s="13"/>
      <c r="M76" s="13"/>
      <c r="N76" s="1" t="s">
        <v>83</v>
      </c>
      <c r="O76" s="6">
        <v>8380</v>
      </c>
      <c r="P76" s="9" t="s">
        <v>14</v>
      </c>
      <c r="Q76" s="13"/>
    </row>
    <row r="77" spans="1:20" x14ac:dyDescent="0.25">
      <c r="A77" s="13"/>
      <c r="B77" s="1" t="s">
        <v>84</v>
      </c>
      <c r="C77" s="6">
        <v>8440</v>
      </c>
      <c r="D77" s="9" t="s">
        <v>14</v>
      </c>
      <c r="E77" s="13"/>
      <c r="G77" s="13"/>
      <c r="H77" s="1" t="s">
        <v>84</v>
      </c>
      <c r="I77" s="6">
        <v>8440</v>
      </c>
      <c r="J77" s="9" t="s">
        <v>14</v>
      </c>
      <c r="K77" s="13"/>
      <c r="M77" s="13"/>
      <c r="N77" s="1" t="s">
        <v>84</v>
      </c>
      <c r="O77" s="6">
        <v>8430</v>
      </c>
      <c r="P77" s="9" t="s">
        <v>14</v>
      </c>
      <c r="Q77" s="13"/>
    </row>
    <row r="78" spans="1:20" x14ac:dyDescent="0.25">
      <c r="A78" s="13"/>
      <c r="B78" s="1" t="s">
        <v>146</v>
      </c>
      <c r="C78" s="6">
        <v>108855</v>
      </c>
      <c r="D78" s="9" t="s">
        <v>14</v>
      </c>
      <c r="E78" s="13"/>
      <c r="G78" s="13"/>
      <c r="H78" s="1" t="s">
        <v>146</v>
      </c>
      <c r="I78" s="6"/>
      <c r="J78" s="9" t="s">
        <v>15</v>
      </c>
      <c r="K78" s="13"/>
      <c r="M78" s="13"/>
      <c r="N78" s="1" t="s">
        <v>146</v>
      </c>
      <c r="O78" s="6">
        <v>19020</v>
      </c>
      <c r="P78" s="9" t="s">
        <v>14</v>
      </c>
      <c r="Q78" s="13"/>
    </row>
    <row r="79" spans="1:20" x14ac:dyDescent="0.25">
      <c r="A79" s="13"/>
      <c r="B79" s="1" t="s">
        <v>82</v>
      </c>
      <c r="C79" s="6">
        <v>37793</v>
      </c>
      <c r="D79" s="9" t="s">
        <v>14</v>
      </c>
      <c r="E79" s="13"/>
      <c r="G79" s="13"/>
      <c r="H79" s="1" t="s">
        <v>82</v>
      </c>
      <c r="I79" s="6">
        <v>37793</v>
      </c>
      <c r="J79" s="9" t="s">
        <v>14</v>
      </c>
      <c r="K79" s="13"/>
      <c r="M79" s="13"/>
      <c r="N79" s="1" t="s">
        <v>82</v>
      </c>
      <c r="O79" s="6">
        <v>37793</v>
      </c>
      <c r="P79" s="9" t="s">
        <v>14</v>
      </c>
      <c r="Q79" s="13"/>
      <c r="S79" t="s">
        <v>151</v>
      </c>
    </row>
    <row r="80" spans="1:20" x14ac:dyDescent="0.25">
      <c r="A80" s="13"/>
      <c r="B80" s="1" t="s">
        <v>147</v>
      </c>
      <c r="C80" s="6">
        <v>30000</v>
      </c>
      <c r="D80" s="9" t="s">
        <v>14</v>
      </c>
      <c r="E80" s="13"/>
      <c r="G80" s="13"/>
      <c r="H80" s="1" t="s">
        <v>147</v>
      </c>
      <c r="I80" s="6">
        <v>70000</v>
      </c>
      <c r="J80" s="9" t="s">
        <v>14</v>
      </c>
      <c r="K80" s="13"/>
      <c r="M80" s="13"/>
      <c r="N80" s="1" t="s">
        <v>147</v>
      </c>
      <c r="O80" s="6">
        <v>40000</v>
      </c>
      <c r="P80" s="9" t="s">
        <v>14</v>
      </c>
      <c r="Q80" s="13">
        <v>40000</v>
      </c>
      <c r="R80">
        <v>89000</v>
      </c>
      <c r="S80">
        <f>R80-Q80</f>
        <v>49000</v>
      </c>
      <c r="T80">
        <v>77500</v>
      </c>
    </row>
    <row r="81" spans="1:20" x14ac:dyDescent="0.25">
      <c r="A81" s="13"/>
      <c r="B81" s="1" t="s">
        <v>149</v>
      </c>
      <c r="C81" s="6">
        <v>180000</v>
      </c>
      <c r="D81" s="9" t="s">
        <v>14</v>
      </c>
      <c r="E81" s="13"/>
      <c r="G81" s="13"/>
      <c r="H81" s="1"/>
      <c r="I81" s="6"/>
      <c r="J81" s="9" t="s">
        <v>15</v>
      </c>
      <c r="K81" s="13"/>
      <c r="M81" s="13"/>
      <c r="N81" s="1"/>
      <c r="O81" s="6"/>
      <c r="P81" s="9" t="s">
        <v>15</v>
      </c>
      <c r="Q81" s="13"/>
      <c r="S81">
        <v>100000</v>
      </c>
      <c r="T81">
        <f>T80+S80</f>
        <v>126500</v>
      </c>
    </row>
    <row r="82" spans="1:20" x14ac:dyDescent="0.25">
      <c r="A82" s="13"/>
      <c r="B82" s="1"/>
      <c r="C82" s="6"/>
      <c r="D82" s="9" t="s">
        <v>15</v>
      </c>
      <c r="E82" s="13"/>
      <c r="G82" s="13"/>
      <c r="H82" s="1"/>
      <c r="I82" s="6"/>
      <c r="J82" s="9" t="s">
        <v>15</v>
      </c>
      <c r="K82" s="13"/>
      <c r="M82" s="13"/>
      <c r="N82" s="1"/>
      <c r="O82" s="6"/>
      <c r="P82" s="9" t="s">
        <v>15</v>
      </c>
      <c r="Q82" s="13"/>
    </row>
    <row r="83" spans="1:20" x14ac:dyDescent="0.25">
      <c r="A83" s="13"/>
      <c r="B83" s="1"/>
      <c r="C83" s="6"/>
      <c r="D83" s="9" t="s">
        <v>15</v>
      </c>
      <c r="E83" s="13"/>
      <c r="G83" s="13"/>
      <c r="H83" s="1"/>
      <c r="I83" s="6"/>
      <c r="J83" s="9" t="s">
        <v>15</v>
      </c>
      <c r="K83" s="13"/>
      <c r="M83" s="13"/>
      <c r="N83" s="1"/>
      <c r="O83" s="6"/>
      <c r="P83" s="9" t="s">
        <v>15</v>
      </c>
      <c r="Q83" s="13"/>
    </row>
    <row r="84" spans="1:20" x14ac:dyDescent="0.25">
      <c r="A84" s="13"/>
      <c r="B84" s="10" t="s">
        <v>3</v>
      </c>
      <c r="C84" s="8">
        <f>SUM(C70:C83)</f>
        <v>1049193</v>
      </c>
      <c r="D84" s="11">
        <f ca="1">SUMIF($D$28:$D$42,"",$C$28:$C$41)</f>
        <v>0</v>
      </c>
      <c r="E84" s="13"/>
      <c r="G84" s="13"/>
      <c r="H84" s="10" t="s">
        <v>3</v>
      </c>
      <c r="I84" s="8">
        <f>SUM(I70:I83)</f>
        <v>763767</v>
      </c>
      <c r="J84" s="11">
        <f ca="1">SUMIF($D$28:$D$42,"",$C$28:$C$41)</f>
        <v>0</v>
      </c>
      <c r="K84" s="13"/>
      <c r="M84" s="13"/>
      <c r="N84" s="10" t="s">
        <v>3</v>
      </c>
      <c r="O84" s="8">
        <f>SUM(O70:O83)</f>
        <v>749344</v>
      </c>
      <c r="P84" s="11">
        <f ca="1">SUMIF($D$28:$D$42,"",$C$28:$C$41)</f>
        <v>0</v>
      </c>
      <c r="Q84" s="13"/>
      <c r="S84" t="s">
        <v>152</v>
      </c>
      <c r="T84">
        <f>T81-S81</f>
        <v>26500</v>
      </c>
    </row>
    <row r="85" spans="1:20" x14ac:dyDescent="0.25">
      <c r="B85" s="2" t="s">
        <v>0</v>
      </c>
      <c r="C85" s="3">
        <v>1138111</v>
      </c>
      <c r="D85" s="13"/>
      <c r="H85" s="2" t="s">
        <v>0</v>
      </c>
      <c r="I85" s="3">
        <v>954000</v>
      </c>
      <c r="J85" s="13"/>
      <c r="N85" s="2" t="s">
        <v>0</v>
      </c>
      <c r="O85" s="3">
        <v>905000</v>
      </c>
      <c r="P85" s="13"/>
    </row>
    <row r="86" spans="1:20" x14ac:dyDescent="0.25">
      <c r="A86" s="13"/>
      <c r="B86" s="18" t="s">
        <v>1</v>
      </c>
      <c r="C86" s="19">
        <f>C85-C84</f>
        <v>88918</v>
      </c>
      <c r="D86" s="13"/>
      <c r="E86" s="13"/>
      <c r="H86" s="18" t="s">
        <v>1</v>
      </c>
      <c r="I86" s="19">
        <f>I85-I84</f>
        <v>190233</v>
      </c>
      <c r="J86" s="13"/>
      <c r="N86" s="18" t="s">
        <v>1</v>
      </c>
      <c r="O86" s="19">
        <f>O85-O84</f>
        <v>155656</v>
      </c>
      <c r="P86" s="13"/>
    </row>
    <row r="87" spans="1:20" s="21" customFormat="1" x14ac:dyDescent="0.25">
      <c r="A87" s="20"/>
      <c r="B87" s="16"/>
      <c r="C87" s="17"/>
      <c r="D87" s="20"/>
      <c r="E87" s="20"/>
      <c r="H87" s="22"/>
      <c r="I87" s="23"/>
      <c r="J87" s="20"/>
      <c r="N87" s="22"/>
      <c r="O87" s="23"/>
      <c r="P87" s="20"/>
    </row>
    <row r="88" spans="1:20" x14ac:dyDescent="0.25">
      <c r="A88" s="13"/>
      <c r="B88" s="38" t="s">
        <v>86</v>
      </c>
      <c r="C88" s="39"/>
      <c r="D88" s="7" t="s">
        <v>2</v>
      </c>
      <c r="E88" s="13"/>
    </row>
    <row r="89" spans="1:20" x14ac:dyDescent="0.25">
      <c r="A89" s="13"/>
      <c r="B89" s="1" t="s">
        <v>101</v>
      </c>
      <c r="C89" s="6">
        <v>389000</v>
      </c>
      <c r="D89" s="9" t="s">
        <v>15</v>
      </c>
      <c r="E89" s="13"/>
    </row>
    <row r="90" spans="1:20" x14ac:dyDescent="0.25">
      <c r="A90" s="13"/>
      <c r="B90" s="1" t="s">
        <v>134</v>
      </c>
      <c r="C90" s="6">
        <v>80000</v>
      </c>
      <c r="D90" s="9" t="s">
        <v>15</v>
      </c>
      <c r="E90" s="13"/>
    </row>
    <row r="91" spans="1:20" x14ac:dyDescent="0.25">
      <c r="A91" s="13"/>
      <c r="B91" s="1" t="s">
        <v>133</v>
      </c>
      <c r="C91" s="6">
        <v>20000</v>
      </c>
      <c r="D91" s="9" t="s">
        <v>15</v>
      </c>
      <c r="E91" s="13"/>
      <c r="H91" s="34"/>
      <c r="I91" s="33"/>
      <c r="J91" s="33"/>
    </row>
    <row r="92" spans="1:20" x14ac:dyDescent="0.25">
      <c r="A92" s="13"/>
      <c r="B92" s="32" t="s">
        <v>136</v>
      </c>
      <c r="C92" s="6">
        <v>19000</v>
      </c>
      <c r="D92" s="9" t="s">
        <v>15</v>
      </c>
      <c r="E92" s="13"/>
    </row>
    <row r="93" spans="1:20" x14ac:dyDescent="0.25">
      <c r="A93" s="13"/>
      <c r="B93" s="1" t="s">
        <v>135</v>
      </c>
      <c r="C93" s="6">
        <v>15000</v>
      </c>
      <c r="D93" s="9" t="s">
        <v>15</v>
      </c>
      <c r="E93" s="13"/>
    </row>
    <row r="94" spans="1:20" x14ac:dyDescent="0.25">
      <c r="A94" s="13"/>
      <c r="B94" s="1"/>
      <c r="C94" s="6"/>
      <c r="D94" s="9" t="s">
        <v>15</v>
      </c>
      <c r="E94" s="13"/>
    </row>
    <row r="95" spans="1:20" x14ac:dyDescent="0.25">
      <c r="A95" s="13"/>
      <c r="B95" s="1"/>
      <c r="C95" s="6"/>
      <c r="D95" s="9" t="s">
        <v>15</v>
      </c>
      <c r="E95" s="13"/>
    </row>
    <row r="96" spans="1:20" x14ac:dyDescent="0.25">
      <c r="A96" s="13"/>
      <c r="B96" s="1"/>
      <c r="C96" s="6"/>
      <c r="D96" s="9" t="s">
        <v>15</v>
      </c>
      <c r="E96" s="13"/>
    </row>
    <row r="97" spans="1:5" x14ac:dyDescent="0.25">
      <c r="A97" s="13"/>
      <c r="B97" s="1"/>
      <c r="C97" s="6"/>
      <c r="D97" s="9" t="s">
        <v>15</v>
      </c>
      <c r="E97" s="13"/>
    </row>
    <row r="98" spans="1:5" x14ac:dyDescent="0.25">
      <c r="A98" s="13"/>
      <c r="B98" s="1"/>
      <c r="C98" s="6"/>
      <c r="D98" s="9" t="s">
        <v>15</v>
      </c>
      <c r="E98" s="13"/>
    </row>
    <row r="99" spans="1:5" x14ac:dyDescent="0.25">
      <c r="A99" s="13"/>
      <c r="B99" s="1"/>
      <c r="C99" s="6"/>
      <c r="D99" s="9" t="s">
        <v>15</v>
      </c>
      <c r="E99" s="13"/>
    </row>
    <row r="100" spans="1:5" x14ac:dyDescent="0.25">
      <c r="A100" s="13"/>
      <c r="B100" s="1"/>
      <c r="C100" s="6"/>
      <c r="D100" s="9" t="s">
        <v>15</v>
      </c>
      <c r="E100" s="13"/>
    </row>
    <row r="101" spans="1:5" x14ac:dyDescent="0.25">
      <c r="A101" s="13"/>
      <c r="B101" s="1"/>
      <c r="C101" s="6"/>
      <c r="D101" s="9" t="s">
        <v>15</v>
      </c>
      <c r="E101" s="13"/>
    </row>
    <row r="102" spans="1:5" x14ac:dyDescent="0.25">
      <c r="A102" s="13"/>
      <c r="B102" s="1"/>
      <c r="C102" s="6"/>
      <c r="D102" s="9" t="s">
        <v>15</v>
      </c>
      <c r="E102" s="13"/>
    </row>
    <row r="103" spans="1:5" x14ac:dyDescent="0.25">
      <c r="A103" s="13"/>
      <c r="B103" s="10" t="s">
        <v>3</v>
      </c>
      <c r="C103" s="8">
        <f>SUM(C89:C102)</f>
        <v>523000</v>
      </c>
      <c r="D103" s="11">
        <f ca="1">SUMIF($D$28:$D$42,"",$C$28:$C$41)</f>
        <v>0</v>
      </c>
      <c r="E103" s="13"/>
    </row>
    <row r="104" spans="1:5" x14ac:dyDescent="0.25">
      <c r="B104" s="2" t="s">
        <v>0</v>
      </c>
      <c r="C104" s="3">
        <v>0</v>
      </c>
      <c r="D104" s="13"/>
    </row>
    <row r="105" spans="1:5" x14ac:dyDescent="0.25">
      <c r="B105" s="4" t="s">
        <v>1</v>
      </c>
      <c r="C105" s="31">
        <f>C103-C104</f>
        <v>523000</v>
      </c>
      <c r="D105" s="13"/>
    </row>
  </sheetData>
  <mergeCells count="13">
    <mergeCell ref="B88:C88"/>
    <mergeCell ref="B49:C49"/>
    <mergeCell ref="H49:I49"/>
    <mergeCell ref="N49:O49"/>
    <mergeCell ref="B69:C69"/>
    <mergeCell ref="H69:I69"/>
    <mergeCell ref="N69:O69"/>
    <mergeCell ref="B3:C3"/>
    <mergeCell ref="H3:I3"/>
    <mergeCell ref="N3:O3"/>
    <mergeCell ref="B27:C27"/>
    <mergeCell ref="H27:I27"/>
    <mergeCell ref="N27:O27"/>
  </mergeCells>
  <conditionalFormatting sqref="D4:D17">
    <cfRule type="cellIs" dxfId="51" priority="1" operator="equal">
      <formula>"EN DEUDA"</formula>
    </cfRule>
    <cfRule type="cellIs" dxfId="50" priority="2" operator="equal">
      <formula>"PAGADO"</formula>
    </cfRule>
  </conditionalFormatting>
  <conditionalFormatting sqref="D28:D42">
    <cfRule type="cellIs" dxfId="49" priority="21" operator="equal">
      <formula>"EN DEUDA"</formula>
    </cfRule>
    <cfRule type="cellIs" dxfId="48" priority="22" operator="equal">
      <formula>"PAGADO"</formula>
    </cfRule>
  </conditionalFormatting>
  <conditionalFormatting sqref="D50:D64">
    <cfRule type="cellIs" dxfId="47" priority="15" operator="equal">
      <formula>"EN DEUDA"</formula>
    </cfRule>
    <cfRule type="cellIs" dxfId="46" priority="16" operator="equal">
      <formula>"PAGADO"</formula>
    </cfRule>
  </conditionalFormatting>
  <conditionalFormatting sqref="D70:D83">
    <cfRule type="cellIs" dxfId="45" priority="9" operator="equal">
      <formula>"EN DEUDA"</formula>
    </cfRule>
    <cfRule type="cellIs" dxfId="44" priority="10" operator="equal">
      <formula>"PAGADO"</formula>
    </cfRule>
  </conditionalFormatting>
  <conditionalFormatting sqref="D89:D102">
    <cfRule type="cellIs" dxfId="43" priority="3" operator="equal">
      <formula>"EN DEUDA"</formula>
    </cfRule>
    <cfRule type="cellIs" dxfId="42" priority="4" operator="equal">
      <formula>"PAGADO"</formula>
    </cfRule>
  </conditionalFormatting>
  <conditionalFormatting sqref="J4:J17">
    <cfRule type="cellIs" dxfId="41" priority="25" operator="equal">
      <formula>"EN DEUDA"</formula>
    </cfRule>
    <cfRule type="cellIs" dxfId="40" priority="26" operator="equal">
      <formula>"PAGADO"</formula>
    </cfRule>
  </conditionalFormatting>
  <conditionalFormatting sqref="J28:J42">
    <cfRule type="cellIs" dxfId="39" priority="19" operator="equal">
      <formula>"EN DEUDA"</formula>
    </cfRule>
    <cfRule type="cellIs" dxfId="38" priority="20" operator="equal">
      <formula>"PAGADO"</formula>
    </cfRule>
  </conditionalFormatting>
  <conditionalFormatting sqref="J50:J64">
    <cfRule type="cellIs" dxfId="37" priority="13" operator="equal">
      <formula>"EN DEUDA"</formula>
    </cfRule>
    <cfRule type="cellIs" dxfId="36" priority="14" operator="equal">
      <formula>"PAGADO"</formula>
    </cfRule>
  </conditionalFormatting>
  <conditionalFormatting sqref="J70:J83">
    <cfRule type="cellIs" dxfId="35" priority="7" operator="equal">
      <formula>"EN DEUDA"</formula>
    </cfRule>
    <cfRule type="cellIs" dxfId="34" priority="8" operator="equal">
      <formula>"PAGADO"</formula>
    </cfRule>
  </conditionalFormatting>
  <conditionalFormatting sqref="P4:P17">
    <cfRule type="cellIs" dxfId="33" priority="23" operator="equal">
      <formula>"EN DEUDA"</formula>
    </cfRule>
    <cfRule type="cellIs" dxfId="32" priority="24" operator="equal">
      <formula>"PAGADO"</formula>
    </cfRule>
  </conditionalFormatting>
  <conditionalFormatting sqref="P28:P42">
    <cfRule type="cellIs" dxfId="31" priority="17" operator="equal">
      <formula>"EN DEUDA"</formula>
    </cfRule>
    <cfRule type="cellIs" dxfId="30" priority="18" operator="equal">
      <formula>"PAGADO"</formula>
    </cfRule>
  </conditionalFormatting>
  <conditionalFormatting sqref="P50:P64">
    <cfRule type="cellIs" dxfId="29" priority="11" operator="equal">
      <formula>"EN DEUDA"</formula>
    </cfRule>
    <cfRule type="cellIs" dxfId="28" priority="12" operator="equal">
      <formula>"PAGADO"</formula>
    </cfRule>
  </conditionalFormatting>
  <conditionalFormatting sqref="P70:P83">
    <cfRule type="cellIs" dxfId="27" priority="5" operator="equal">
      <formula>"EN DEUDA"</formula>
    </cfRule>
    <cfRule type="cellIs" dxfId="26" priority="6" operator="equal">
      <formula>"PAGADO"</formula>
    </cfRule>
  </conditionalFormatting>
  <dataValidations count="1">
    <dataValidation type="list" allowBlank="1" showInputMessage="1" showErrorMessage="1" sqref="P28:P42 D50:D64 J4:J17 P4:P17 D70:D83 J50:J64 D28:D42 J70:J83 D4:D17 J28:J42 D89:D102 P50:P64 P70:P83" xr:uid="{4332B73A-7545-42F0-B2A6-C9C18139B67B}">
      <formula1>"PAGADO,EN DEUDA"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A283-5B25-4680-88D5-B734F837667D}">
  <dimension ref="A2:Q105"/>
  <sheetViews>
    <sheetView showGridLines="0" tabSelected="1" topLeftCell="A44" zoomScale="115" zoomScaleNormal="115" zoomScaleSheetLayoutView="90" workbookViewId="0">
      <selection activeCell="I61" sqref="I61"/>
    </sheetView>
  </sheetViews>
  <sheetFormatPr baseColWidth="10" defaultColWidth="11.42578125" defaultRowHeight="15" x14ac:dyDescent="0.25"/>
  <cols>
    <col min="1" max="1" width="3.42578125" customWidth="1"/>
    <col min="2" max="2" width="33.28515625" customWidth="1"/>
    <col min="3" max="3" width="13.140625" bestFit="1" customWidth="1"/>
    <col min="4" max="4" width="13" bestFit="1" customWidth="1"/>
    <col min="5" max="5" width="9.85546875" customWidth="1"/>
    <col min="6" max="6" width="4.140625" bestFit="1" customWidth="1"/>
    <col min="7" max="7" width="5.42578125" customWidth="1"/>
    <col min="8" max="8" width="31.42578125" bestFit="1" customWidth="1"/>
    <col min="9" max="9" width="13" bestFit="1" customWidth="1"/>
    <col min="10" max="10" width="10.28515625" bestFit="1" customWidth="1"/>
    <col min="11" max="11" width="6.85546875" customWidth="1"/>
    <col min="12" max="12" width="5.140625" customWidth="1"/>
    <col min="13" max="13" width="5.28515625" customWidth="1"/>
    <col min="14" max="14" width="33.42578125" customWidth="1"/>
    <col min="15" max="15" width="19.42578125" bestFit="1" customWidth="1"/>
    <col min="16" max="16" width="10.28515625" bestFit="1" customWidth="1"/>
    <col min="17" max="17" width="18.28515625" customWidth="1"/>
    <col min="19" max="19" width="14.5703125" bestFit="1" customWidth="1"/>
  </cols>
  <sheetData>
    <row r="2" spans="1:17" x14ac:dyDescent="0.25">
      <c r="A2" s="13"/>
      <c r="B2" s="13"/>
      <c r="C2" s="13"/>
      <c r="D2" s="13"/>
      <c r="E2" s="13"/>
      <c r="G2" s="13"/>
      <c r="H2" s="13"/>
      <c r="I2" s="13"/>
      <c r="J2" s="13"/>
      <c r="K2" s="13"/>
      <c r="M2" s="13"/>
      <c r="N2" s="13"/>
      <c r="O2" s="13"/>
      <c r="P2" s="13"/>
      <c r="Q2" s="13"/>
    </row>
    <row r="3" spans="1:17" x14ac:dyDescent="0.25">
      <c r="A3" s="13"/>
      <c r="B3" s="38" t="s">
        <v>4</v>
      </c>
      <c r="C3" s="39"/>
      <c r="D3" s="7" t="s">
        <v>2</v>
      </c>
      <c r="E3" s="13"/>
      <c r="G3" s="13"/>
      <c r="H3" s="38" t="s">
        <v>5</v>
      </c>
      <c r="I3" s="39"/>
      <c r="J3" s="7" t="s">
        <v>2</v>
      </c>
      <c r="K3" s="13"/>
      <c r="M3" s="13"/>
      <c r="N3" s="38" t="s">
        <v>6</v>
      </c>
      <c r="O3" s="39"/>
      <c r="P3" s="7" t="s">
        <v>2</v>
      </c>
      <c r="Q3" s="13"/>
    </row>
    <row r="4" spans="1:17" x14ac:dyDescent="0.25">
      <c r="A4" s="13"/>
      <c r="B4" s="1" t="s">
        <v>148</v>
      </c>
      <c r="C4" s="6">
        <v>400400</v>
      </c>
      <c r="D4" s="9" t="s">
        <v>14</v>
      </c>
      <c r="E4" s="13"/>
      <c r="G4" s="13"/>
      <c r="H4" s="1" t="s">
        <v>148</v>
      </c>
      <c r="I4" s="6">
        <v>380000</v>
      </c>
      <c r="J4" s="9" t="s">
        <v>14</v>
      </c>
      <c r="K4" s="13"/>
      <c r="M4" s="13"/>
      <c r="N4" s="1" t="s">
        <v>148</v>
      </c>
      <c r="O4" s="6">
        <v>380000</v>
      </c>
      <c r="P4" s="9" t="s">
        <v>14</v>
      </c>
      <c r="Q4" s="13"/>
    </row>
    <row r="5" spans="1:17" x14ac:dyDescent="0.25">
      <c r="A5" s="13"/>
      <c r="B5" s="1" t="s">
        <v>80</v>
      </c>
      <c r="C5" s="6">
        <v>140000</v>
      </c>
      <c r="D5" s="9" t="s">
        <v>14</v>
      </c>
      <c r="E5" s="13"/>
      <c r="G5" s="13"/>
      <c r="H5" s="1" t="s">
        <v>80</v>
      </c>
      <c r="I5" s="6">
        <v>140000</v>
      </c>
      <c r="J5" s="9" t="s">
        <v>14</v>
      </c>
      <c r="K5" s="13"/>
      <c r="M5" s="13"/>
      <c r="N5" s="1" t="s">
        <v>80</v>
      </c>
      <c r="O5" s="6">
        <v>140000</v>
      </c>
      <c r="P5" s="9" t="s">
        <v>14</v>
      </c>
      <c r="Q5" s="13"/>
    </row>
    <row r="6" spans="1:17" x14ac:dyDescent="0.25">
      <c r="A6" s="13"/>
      <c r="B6" s="1" t="s">
        <v>150</v>
      </c>
      <c r="C6" s="6">
        <v>5500</v>
      </c>
      <c r="D6" s="9" t="s">
        <v>14</v>
      </c>
      <c r="E6" s="13"/>
      <c r="G6" s="13"/>
      <c r="H6" s="1" t="s">
        <v>150</v>
      </c>
      <c r="I6" s="6">
        <v>4990</v>
      </c>
      <c r="J6" s="9" t="s">
        <v>14</v>
      </c>
      <c r="K6" s="13"/>
      <c r="M6" s="13"/>
      <c r="N6" s="1" t="s">
        <v>150</v>
      </c>
      <c r="O6" s="6">
        <v>4990</v>
      </c>
      <c r="P6" s="9" t="s">
        <v>14</v>
      </c>
      <c r="Q6" s="13"/>
    </row>
    <row r="7" spans="1:17" x14ac:dyDescent="0.25">
      <c r="A7" s="13"/>
      <c r="B7" s="1" t="s">
        <v>18</v>
      </c>
      <c r="C7" s="6">
        <v>60000</v>
      </c>
      <c r="D7" s="9" t="s">
        <v>15</v>
      </c>
      <c r="E7" s="13"/>
      <c r="G7" s="13"/>
      <c r="H7" s="1" t="s">
        <v>18</v>
      </c>
      <c r="I7" s="6">
        <v>25215</v>
      </c>
      <c r="J7" s="9" t="s">
        <v>14</v>
      </c>
      <c r="K7" s="13"/>
      <c r="M7" s="13"/>
      <c r="N7" s="1" t="s">
        <v>18</v>
      </c>
      <c r="O7" s="6">
        <v>14162</v>
      </c>
      <c r="P7" s="9" t="s">
        <v>14</v>
      </c>
      <c r="Q7" s="13"/>
    </row>
    <row r="8" spans="1:17" x14ac:dyDescent="0.25">
      <c r="A8" s="13"/>
      <c r="B8" s="1" t="s">
        <v>27</v>
      </c>
      <c r="C8" s="6">
        <v>77000</v>
      </c>
      <c r="D8" s="9" t="s">
        <v>15</v>
      </c>
      <c r="E8" s="13"/>
      <c r="G8" s="13"/>
      <c r="H8" s="1" t="s">
        <v>27</v>
      </c>
      <c r="I8" s="6">
        <v>25000</v>
      </c>
      <c r="J8" s="9" t="s">
        <v>14</v>
      </c>
      <c r="K8" s="13"/>
      <c r="M8" s="13"/>
      <c r="N8" s="1" t="s">
        <v>27</v>
      </c>
      <c r="O8" s="6">
        <v>19722</v>
      </c>
      <c r="P8" s="9" t="s">
        <v>14</v>
      </c>
      <c r="Q8" s="13"/>
    </row>
    <row r="9" spans="1:17" x14ac:dyDescent="0.25">
      <c r="A9" s="13"/>
      <c r="B9" s="1" t="s">
        <v>145</v>
      </c>
      <c r="C9" s="6">
        <v>20000</v>
      </c>
      <c r="D9" s="9" t="s">
        <v>15</v>
      </c>
      <c r="E9" s="13"/>
      <c r="G9" s="13"/>
      <c r="H9" s="1" t="s">
        <v>145</v>
      </c>
      <c r="I9" s="6">
        <v>56600</v>
      </c>
      <c r="J9" s="9" t="s">
        <v>14</v>
      </c>
      <c r="K9" s="13"/>
      <c r="M9" s="13"/>
      <c r="N9" s="1" t="s">
        <v>145</v>
      </c>
      <c r="O9" s="6">
        <v>25100</v>
      </c>
      <c r="P9" s="9" t="s">
        <v>14</v>
      </c>
      <c r="Q9" s="13"/>
    </row>
    <row r="10" spans="1:17" x14ac:dyDescent="0.25">
      <c r="A10" s="13"/>
      <c r="B10" s="1" t="s">
        <v>83</v>
      </c>
      <c r="C10" s="6">
        <v>10000</v>
      </c>
      <c r="D10" s="9" t="s">
        <v>15</v>
      </c>
      <c r="E10" s="13"/>
      <c r="G10" s="13"/>
      <c r="H10" s="1" t="s">
        <v>83</v>
      </c>
      <c r="I10" s="15">
        <v>30220</v>
      </c>
      <c r="J10" s="9" t="s">
        <v>14</v>
      </c>
      <c r="K10" s="13"/>
      <c r="M10" s="13"/>
      <c r="N10" s="1" t="s">
        <v>83</v>
      </c>
      <c r="O10" s="6">
        <v>13090</v>
      </c>
      <c r="P10" s="9" t="s">
        <v>14</v>
      </c>
      <c r="Q10" s="13"/>
    </row>
    <row r="11" spans="1:17" x14ac:dyDescent="0.25">
      <c r="A11" s="13"/>
      <c r="B11" s="1" t="s">
        <v>84</v>
      </c>
      <c r="C11" s="6">
        <v>8000</v>
      </c>
      <c r="D11" s="9" t="s">
        <v>15</v>
      </c>
      <c r="E11" s="13"/>
      <c r="G11" s="13"/>
      <c r="H11" s="1" t="s">
        <v>84</v>
      </c>
      <c r="I11" s="6">
        <v>16950</v>
      </c>
      <c r="J11" s="9" t="s">
        <v>14</v>
      </c>
      <c r="K11" s="13"/>
      <c r="M11" s="13"/>
      <c r="N11" s="1" t="s">
        <v>84</v>
      </c>
      <c r="O11" s="6">
        <v>8440</v>
      </c>
      <c r="P11" s="9" t="s">
        <v>14</v>
      </c>
      <c r="Q11" s="13"/>
    </row>
    <row r="12" spans="1:17" x14ac:dyDescent="0.25">
      <c r="A12" s="13"/>
      <c r="B12" s="1" t="s">
        <v>146</v>
      </c>
      <c r="C12" s="6">
        <v>20400</v>
      </c>
      <c r="D12" s="9" t="s">
        <v>14</v>
      </c>
      <c r="E12" s="13"/>
      <c r="G12" s="13"/>
      <c r="H12" s="1" t="s">
        <v>146</v>
      </c>
      <c r="I12" s="6">
        <v>18667</v>
      </c>
      <c r="J12" s="9" t="s">
        <v>14</v>
      </c>
      <c r="K12" s="13"/>
      <c r="M12" s="13"/>
      <c r="N12" s="1" t="s">
        <v>146</v>
      </c>
      <c r="O12" s="6"/>
      <c r="P12" s="9" t="s">
        <v>15</v>
      </c>
      <c r="Q12" s="13"/>
    </row>
    <row r="13" spans="1:17" x14ac:dyDescent="0.25">
      <c r="A13" s="13"/>
      <c r="B13" s="1" t="s">
        <v>82</v>
      </c>
      <c r="C13" s="6">
        <v>37793</v>
      </c>
      <c r="D13" s="9" t="s">
        <v>15</v>
      </c>
      <c r="E13" s="13"/>
      <c r="G13" s="13"/>
      <c r="H13" s="1" t="s">
        <v>82</v>
      </c>
      <c r="I13" s="6">
        <v>75958</v>
      </c>
      <c r="J13" s="9" t="s">
        <v>14</v>
      </c>
      <c r="K13" s="13"/>
      <c r="M13" s="13"/>
      <c r="N13" s="1" t="s">
        <v>82</v>
      </c>
      <c r="O13" s="6">
        <v>43343</v>
      </c>
      <c r="P13" s="9" t="s">
        <v>14</v>
      </c>
      <c r="Q13" s="12"/>
    </row>
    <row r="14" spans="1:17" x14ac:dyDescent="0.25">
      <c r="A14" s="13"/>
      <c r="B14" s="1" t="s">
        <v>147</v>
      </c>
      <c r="C14" s="6">
        <v>100000</v>
      </c>
      <c r="D14" s="9" t="s">
        <v>14</v>
      </c>
      <c r="E14" s="13"/>
      <c r="G14" s="13"/>
      <c r="H14" s="1" t="s">
        <v>147</v>
      </c>
      <c r="I14" s="6">
        <v>26500</v>
      </c>
      <c r="J14" s="9" t="s">
        <v>15</v>
      </c>
      <c r="K14" s="13"/>
      <c r="M14" s="13"/>
      <c r="N14" s="1" t="s">
        <v>147</v>
      </c>
      <c r="O14" s="6">
        <v>70000</v>
      </c>
      <c r="P14" s="9" t="s">
        <v>14</v>
      </c>
      <c r="Q14" s="13"/>
    </row>
    <row r="15" spans="1:17" x14ac:dyDescent="0.25">
      <c r="A15" s="13"/>
      <c r="B15" s="1"/>
      <c r="C15" s="6"/>
      <c r="D15" s="9" t="s">
        <v>15</v>
      </c>
      <c r="E15" s="13"/>
      <c r="G15" s="13"/>
      <c r="H15" s="1" t="s">
        <v>172</v>
      </c>
      <c r="I15" s="6">
        <v>60000</v>
      </c>
      <c r="J15" s="9" t="s">
        <v>14</v>
      </c>
      <c r="K15" s="13"/>
      <c r="M15" s="13"/>
      <c r="N15" s="1" t="s">
        <v>173</v>
      </c>
      <c r="O15" s="28">
        <v>45000</v>
      </c>
      <c r="P15" s="9" t="s">
        <v>14</v>
      </c>
      <c r="Q15" s="13"/>
    </row>
    <row r="16" spans="1:17" x14ac:dyDescent="0.25">
      <c r="A16" s="13"/>
      <c r="B16" s="1"/>
      <c r="C16" s="6"/>
      <c r="D16" s="9" t="s">
        <v>15</v>
      </c>
      <c r="E16" s="13"/>
      <c r="G16" s="13"/>
      <c r="H16" s="1" t="s">
        <v>173</v>
      </c>
      <c r="I16" s="6">
        <v>50000</v>
      </c>
      <c r="J16" s="9" t="s">
        <v>14</v>
      </c>
      <c r="K16" s="13"/>
      <c r="M16" s="13"/>
      <c r="N16" s="1" t="s">
        <v>17</v>
      </c>
      <c r="O16" s="28">
        <v>35000</v>
      </c>
      <c r="P16" s="9" t="s">
        <v>14</v>
      </c>
      <c r="Q16" s="13"/>
    </row>
    <row r="17" spans="1:17" x14ac:dyDescent="0.25">
      <c r="A17" s="13"/>
      <c r="B17" s="1"/>
      <c r="C17" s="6"/>
      <c r="D17" s="9" t="s">
        <v>15</v>
      </c>
      <c r="E17" s="13"/>
      <c r="G17" s="13"/>
      <c r="H17" s="1"/>
      <c r="I17" s="6"/>
      <c r="J17" s="9" t="s">
        <v>15</v>
      </c>
      <c r="K17" s="13"/>
      <c r="M17" s="13"/>
      <c r="N17" s="1" t="s">
        <v>174</v>
      </c>
      <c r="O17" s="6">
        <v>45000</v>
      </c>
      <c r="P17" s="9" t="s">
        <v>14</v>
      </c>
      <c r="Q17" s="13"/>
    </row>
    <row r="18" spans="1:17" x14ac:dyDescent="0.25">
      <c r="A18" s="13"/>
      <c r="B18" s="10" t="s">
        <v>3</v>
      </c>
      <c r="C18" s="8">
        <f>SUM(C4:C17)</f>
        <v>879093</v>
      </c>
      <c r="D18" s="11">
        <f ca="1">SUMIF($D$4:$D$17,"",$C$5:$C$17)</f>
        <v>0</v>
      </c>
      <c r="E18" s="13"/>
      <c r="G18" s="13"/>
      <c r="H18" s="10" t="s">
        <v>3</v>
      </c>
      <c r="I18" s="8">
        <f>SUM(I4:I17)</f>
        <v>910100</v>
      </c>
      <c r="J18" s="11">
        <f>SUMIF($J$4:$J$17,"",$I$4:$I$17)</f>
        <v>0</v>
      </c>
      <c r="K18" s="13"/>
      <c r="M18" s="13"/>
      <c r="N18" s="10" t="s">
        <v>3</v>
      </c>
      <c r="O18" s="8">
        <f>SUM(O4:O17)</f>
        <v>843847</v>
      </c>
      <c r="P18" s="11">
        <f ca="1">SUMIF($P$4:$P$17,"",$O$4:$O$15)</f>
        <v>0</v>
      </c>
      <c r="Q18" s="12"/>
    </row>
    <row r="19" spans="1:17" x14ac:dyDescent="0.25">
      <c r="A19" s="13"/>
      <c r="B19" s="2" t="s">
        <v>0</v>
      </c>
      <c r="C19" s="3">
        <v>1105102</v>
      </c>
      <c r="D19" s="12"/>
      <c r="E19" s="13"/>
      <c r="G19" s="13"/>
      <c r="H19" s="2" t="s">
        <v>0</v>
      </c>
      <c r="I19" s="3">
        <v>1099000</v>
      </c>
      <c r="J19" s="13"/>
      <c r="K19" s="13"/>
      <c r="M19" s="13"/>
      <c r="N19" s="2" t="s">
        <v>0</v>
      </c>
      <c r="O19" s="3">
        <v>1089858</v>
      </c>
      <c r="P19" s="13"/>
      <c r="Q19" s="13"/>
    </row>
    <row r="20" spans="1:17" x14ac:dyDescent="0.25">
      <c r="A20" s="13"/>
      <c r="B20" s="4" t="s">
        <v>1</v>
      </c>
      <c r="C20" s="5">
        <f>C19-C18</f>
        <v>226009</v>
      </c>
      <c r="D20" s="13"/>
      <c r="E20" s="13"/>
      <c r="G20" s="13"/>
      <c r="H20" s="4" t="s">
        <v>1</v>
      </c>
      <c r="I20" s="5">
        <f>I19-I18</f>
        <v>188900</v>
      </c>
      <c r="J20" s="13"/>
      <c r="K20" s="13"/>
      <c r="M20" s="13"/>
      <c r="N20" s="4" t="s">
        <v>1</v>
      </c>
      <c r="O20" s="5">
        <f>O19-O18</f>
        <v>246011</v>
      </c>
      <c r="P20" s="13"/>
      <c r="Q20" s="13"/>
    </row>
    <row r="21" spans="1:17" x14ac:dyDescent="0.25">
      <c r="A21" s="13"/>
      <c r="B21" s="13"/>
      <c r="C21" s="13"/>
      <c r="D21" s="13"/>
      <c r="E21" s="13"/>
      <c r="G21" s="13"/>
      <c r="H21" s="13"/>
      <c r="I21" s="13"/>
      <c r="J21" s="13"/>
      <c r="K21" s="13"/>
      <c r="M21" s="13"/>
      <c r="N21" s="13"/>
      <c r="O21" s="13"/>
      <c r="P21" s="13"/>
      <c r="Q21" s="13"/>
    </row>
    <row r="22" spans="1:17" x14ac:dyDescent="0.25">
      <c r="A22" s="13"/>
      <c r="B22" s="12"/>
      <c r="C22" s="13"/>
      <c r="D22" s="13"/>
      <c r="E22" s="13"/>
      <c r="G22" s="13"/>
      <c r="H22" s="13"/>
      <c r="I22" s="13"/>
      <c r="J22" s="13"/>
      <c r="K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G23" s="13"/>
      <c r="H23" s="13"/>
      <c r="I23" s="13"/>
      <c r="J23" s="13"/>
      <c r="K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G24" s="13"/>
      <c r="H24" s="13"/>
      <c r="I24" s="13"/>
      <c r="J24" s="13"/>
      <c r="K24" s="13"/>
      <c r="M24" s="13"/>
      <c r="N24" s="13"/>
      <c r="O24" s="13"/>
      <c r="P24" s="13"/>
      <c r="Q24" s="13"/>
    </row>
    <row r="26" spans="1:17" x14ac:dyDescent="0.25">
      <c r="A26" s="13"/>
      <c r="B26" s="13"/>
      <c r="C26" s="13"/>
      <c r="D26" s="13"/>
      <c r="E26" s="13"/>
      <c r="G26" s="13"/>
      <c r="H26" s="13"/>
      <c r="I26" s="13"/>
      <c r="J26" s="13"/>
      <c r="K26" s="13"/>
      <c r="M26" s="13"/>
      <c r="N26" s="13"/>
      <c r="O26" s="13"/>
      <c r="P26" s="13"/>
      <c r="Q26" s="13"/>
    </row>
    <row r="27" spans="1:17" x14ac:dyDescent="0.25">
      <c r="A27" s="13"/>
      <c r="B27" s="38" t="s">
        <v>7</v>
      </c>
      <c r="C27" s="39"/>
      <c r="D27" s="7" t="s">
        <v>2</v>
      </c>
      <c r="E27" s="13"/>
      <c r="G27" s="13"/>
      <c r="H27" s="38" t="s">
        <v>8</v>
      </c>
      <c r="I27" s="39"/>
      <c r="J27" s="7" t="s">
        <v>2</v>
      </c>
      <c r="K27" s="13"/>
      <c r="L27" s="6"/>
      <c r="M27" s="13"/>
      <c r="N27" s="38" t="s">
        <v>9</v>
      </c>
      <c r="O27" s="39"/>
      <c r="P27" s="7" t="s">
        <v>2</v>
      </c>
      <c r="Q27" s="13"/>
    </row>
    <row r="28" spans="1:17" x14ac:dyDescent="0.25">
      <c r="A28" s="13"/>
      <c r="B28" s="1" t="s">
        <v>177</v>
      </c>
      <c r="C28" s="6">
        <f>380000+41728</f>
        <v>421728</v>
      </c>
      <c r="D28" s="9" t="s">
        <v>14</v>
      </c>
      <c r="E28" s="13"/>
      <c r="G28" s="13"/>
      <c r="H28" s="1" t="s">
        <v>177</v>
      </c>
      <c r="I28" s="6">
        <v>403800</v>
      </c>
      <c r="J28" s="9" t="s">
        <v>14</v>
      </c>
      <c r="K28" s="13"/>
      <c r="M28" s="13"/>
      <c r="N28" s="1" t="s">
        <v>177</v>
      </c>
      <c r="O28" s="6">
        <v>409980</v>
      </c>
      <c r="P28" s="9" t="s">
        <v>14</v>
      </c>
      <c r="Q28" s="13"/>
    </row>
    <row r="29" spans="1:17" x14ac:dyDescent="0.25">
      <c r="A29" s="13"/>
      <c r="B29" s="1" t="s">
        <v>80</v>
      </c>
      <c r="C29" s="6">
        <v>140000</v>
      </c>
      <c r="D29" s="9" t="s">
        <v>14</v>
      </c>
      <c r="E29" s="13"/>
      <c r="G29" s="13"/>
      <c r="H29" s="1" t="s">
        <v>80</v>
      </c>
      <c r="I29" s="6">
        <v>140000</v>
      </c>
      <c r="J29" s="9" t="s">
        <v>14</v>
      </c>
      <c r="K29" s="13"/>
      <c r="M29" s="13"/>
      <c r="N29" s="1" t="s">
        <v>80</v>
      </c>
      <c r="O29" s="6">
        <v>140000</v>
      </c>
      <c r="P29" s="9" t="s">
        <v>14</v>
      </c>
      <c r="Q29" s="13"/>
    </row>
    <row r="30" spans="1:17" x14ac:dyDescent="0.25">
      <c r="A30" s="13"/>
      <c r="B30" s="1" t="s">
        <v>178</v>
      </c>
      <c r="C30" s="6">
        <v>13681</v>
      </c>
      <c r="D30" s="9" t="s">
        <v>14</v>
      </c>
      <c r="E30" s="13"/>
      <c r="G30" s="13"/>
      <c r="H30" s="1" t="s">
        <v>178</v>
      </c>
      <c r="I30" s="6">
        <v>13681</v>
      </c>
      <c r="J30" s="9" t="s">
        <v>14</v>
      </c>
      <c r="K30" s="13"/>
      <c r="M30" s="13"/>
      <c r="N30" s="1" t="s">
        <v>178</v>
      </c>
      <c r="O30" s="6">
        <f>SUM(24870+7500)</f>
        <v>32370</v>
      </c>
      <c r="P30" s="9" t="s">
        <v>14</v>
      </c>
      <c r="Q30" s="13"/>
    </row>
    <row r="31" spans="1:17" x14ac:dyDescent="0.25">
      <c r="A31" s="13"/>
      <c r="B31" s="1" t="s">
        <v>82</v>
      </c>
      <c r="C31" s="6">
        <v>38165</v>
      </c>
      <c r="D31" s="9" t="s">
        <v>14</v>
      </c>
      <c r="E31" s="13"/>
      <c r="G31" s="13"/>
      <c r="H31" s="1" t="s">
        <v>82</v>
      </c>
      <c r="I31" s="6">
        <f>(14060+7694)</f>
        <v>21754</v>
      </c>
      <c r="J31" s="9" t="s">
        <v>14</v>
      </c>
      <c r="K31" s="13"/>
      <c r="M31" s="13"/>
      <c r="N31" s="1" t="s">
        <v>185</v>
      </c>
      <c r="O31" s="6">
        <v>38643</v>
      </c>
      <c r="P31" s="9" t="s">
        <v>14</v>
      </c>
      <c r="Q31" s="13"/>
    </row>
    <row r="32" spans="1:17" x14ac:dyDescent="0.25">
      <c r="A32" s="13"/>
      <c r="B32" s="1" t="s">
        <v>18</v>
      </c>
      <c r="C32" s="6">
        <v>105509</v>
      </c>
      <c r="D32" s="9" t="s">
        <v>14</v>
      </c>
      <c r="E32" s="13"/>
      <c r="G32" s="13"/>
      <c r="H32" s="1" t="s">
        <v>18</v>
      </c>
      <c r="I32" s="6">
        <v>10556</v>
      </c>
      <c r="J32" s="9" t="s">
        <v>14</v>
      </c>
      <c r="K32" s="13"/>
      <c r="M32" s="13"/>
      <c r="N32" s="1" t="s">
        <v>18</v>
      </c>
      <c r="O32" s="6">
        <v>43187</v>
      </c>
      <c r="P32" s="9" t="s">
        <v>14</v>
      </c>
      <c r="Q32" s="13"/>
    </row>
    <row r="33" spans="1:17" x14ac:dyDescent="0.25">
      <c r="A33" s="13"/>
      <c r="B33" s="1" t="s">
        <v>27</v>
      </c>
      <c r="C33" s="6">
        <v>37691</v>
      </c>
      <c r="D33" s="9" t="s">
        <v>14</v>
      </c>
      <c r="E33" s="13"/>
      <c r="G33" s="13"/>
      <c r="H33" s="1" t="s">
        <v>27</v>
      </c>
      <c r="I33" s="6">
        <v>28279</v>
      </c>
      <c r="J33" s="9" t="s">
        <v>14</v>
      </c>
      <c r="K33" s="13"/>
      <c r="M33" s="13"/>
      <c r="N33" s="1" t="s">
        <v>27</v>
      </c>
      <c r="O33" s="6">
        <v>35452</v>
      </c>
      <c r="P33" s="9" t="s">
        <v>14</v>
      </c>
      <c r="Q33" s="13"/>
    </row>
    <row r="34" spans="1:17" x14ac:dyDescent="0.25">
      <c r="A34" s="13"/>
      <c r="B34" s="1" t="s">
        <v>145</v>
      </c>
      <c r="C34" s="6">
        <v>41000</v>
      </c>
      <c r="D34" s="9" t="s">
        <v>14</v>
      </c>
      <c r="E34" s="6"/>
      <c r="G34" s="13"/>
      <c r="H34" s="1" t="s">
        <v>145</v>
      </c>
      <c r="I34" s="6">
        <v>62000</v>
      </c>
      <c r="J34" s="9" t="s">
        <v>14</v>
      </c>
      <c r="K34" s="13"/>
      <c r="M34" s="13"/>
      <c r="N34" s="1" t="s">
        <v>145</v>
      </c>
      <c r="O34" s="6">
        <v>40900</v>
      </c>
      <c r="P34" s="9" t="s">
        <v>14</v>
      </c>
      <c r="Q34" s="13"/>
    </row>
    <row r="35" spans="1:17" x14ac:dyDescent="0.25">
      <c r="A35" s="13"/>
      <c r="B35" s="1" t="s">
        <v>83</v>
      </c>
      <c r="C35" s="6">
        <v>8610</v>
      </c>
      <c r="D35" s="9" t="s">
        <v>14</v>
      </c>
      <c r="E35" s="13"/>
      <c r="G35" s="13"/>
      <c r="H35" s="1" t="s">
        <v>83</v>
      </c>
      <c r="I35" s="15">
        <v>13060</v>
      </c>
      <c r="J35" s="9" t="s">
        <v>14</v>
      </c>
      <c r="K35" s="13"/>
      <c r="M35" s="13"/>
      <c r="N35" s="1" t="s">
        <v>83</v>
      </c>
      <c r="O35" s="6">
        <v>13860</v>
      </c>
      <c r="P35" s="9" t="s">
        <v>14</v>
      </c>
      <c r="Q35" s="13"/>
    </row>
    <row r="36" spans="1:17" x14ac:dyDescent="0.25">
      <c r="A36" s="13"/>
      <c r="B36" s="1" t="s">
        <v>84</v>
      </c>
      <c r="C36" s="6">
        <v>15880</v>
      </c>
      <c r="D36" s="9" t="s">
        <v>14</v>
      </c>
      <c r="E36" s="13"/>
      <c r="G36" s="13"/>
      <c r="H36" s="1" t="s">
        <v>84</v>
      </c>
      <c r="I36" s="6">
        <v>64500</v>
      </c>
      <c r="J36" s="9" t="s">
        <v>14</v>
      </c>
      <c r="K36" s="13"/>
      <c r="M36" s="13"/>
      <c r="N36" s="1" t="s">
        <v>84</v>
      </c>
      <c r="O36" s="6">
        <v>85750</v>
      </c>
      <c r="P36" s="9" t="s">
        <v>14</v>
      </c>
      <c r="Q36" s="13"/>
    </row>
    <row r="37" spans="1:17" x14ac:dyDescent="0.25">
      <c r="A37" s="13"/>
      <c r="B37" s="1" t="s">
        <v>147</v>
      </c>
      <c r="C37" s="6">
        <v>80000</v>
      </c>
      <c r="D37" s="9" t="s">
        <v>14</v>
      </c>
      <c r="E37" s="13"/>
      <c r="G37" s="13"/>
      <c r="H37" s="1" t="s">
        <v>147</v>
      </c>
      <c r="I37" s="6">
        <v>35000</v>
      </c>
      <c r="J37" s="9" t="s">
        <v>14</v>
      </c>
      <c r="K37" s="13"/>
      <c r="M37" s="13"/>
      <c r="N37" s="1" t="s">
        <v>147</v>
      </c>
      <c r="O37" s="6"/>
      <c r="P37" s="9" t="s">
        <v>15</v>
      </c>
      <c r="Q37" s="13"/>
    </row>
    <row r="38" spans="1:17" x14ac:dyDescent="0.25">
      <c r="A38" s="13"/>
      <c r="B38" s="1" t="s">
        <v>174</v>
      </c>
      <c r="C38" s="6"/>
      <c r="D38" s="9" t="s">
        <v>15</v>
      </c>
      <c r="E38" s="13"/>
      <c r="G38" s="13"/>
      <c r="H38" s="1" t="s">
        <v>174</v>
      </c>
      <c r="I38" s="6"/>
      <c r="J38" s="9" t="s">
        <v>15</v>
      </c>
      <c r="K38" s="13"/>
      <c r="M38" s="13"/>
      <c r="N38" s="1" t="s">
        <v>174</v>
      </c>
      <c r="O38" s="6">
        <v>45000</v>
      </c>
      <c r="P38" s="9" t="s">
        <v>14</v>
      </c>
      <c r="Q38" s="13"/>
    </row>
    <row r="39" spans="1:17" x14ac:dyDescent="0.25">
      <c r="A39" s="13"/>
      <c r="B39" s="1"/>
      <c r="C39" s="6"/>
      <c r="D39" s="9" t="s">
        <v>15</v>
      </c>
      <c r="E39" s="13"/>
      <c r="G39" s="13"/>
      <c r="H39" s="1" t="s">
        <v>181</v>
      </c>
      <c r="I39" s="6">
        <v>15000</v>
      </c>
      <c r="J39" s="9" t="s">
        <v>15</v>
      </c>
      <c r="K39" s="13"/>
      <c r="M39" s="13"/>
      <c r="N39" s="1"/>
      <c r="O39" s="6"/>
      <c r="P39" s="9" t="s">
        <v>15</v>
      </c>
      <c r="Q39" s="13"/>
    </row>
    <row r="40" spans="1:17" x14ac:dyDescent="0.25">
      <c r="A40" s="13"/>
      <c r="B40" s="1"/>
      <c r="C40" s="6"/>
      <c r="D40" s="9" t="s">
        <v>15</v>
      </c>
      <c r="E40" s="13"/>
      <c r="G40" s="13"/>
      <c r="H40" s="1"/>
      <c r="I40" s="6"/>
      <c r="J40" s="9" t="s">
        <v>15</v>
      </c>
      <c r="K40" s="13"/>
      <c r="M40" s="13"/>
      <c r="N40" s="1"/>
      <c r="O40" s="6"/>
      <c r="P40" s="9" t="s">
        <v>15</v>
      </c>
      <c r="Q40" s="13"/>
    </row>
    <row r="41" spans="1:17" x14ac:dyDescent="0.25">
      <c r="A41" s="13"/>
      <c r="B41" s="1"/>
      <c r="C41" s="6"/>
      <c r="D41" s="9" t="s">
        <v>15</v>
      </c>
      <c r="E41" s="13"/>
      <c r="G41" s="13"/>
      <c r="H41" s="1"/>
      <c r="I41" s="6"/>
      <c r="J41" s="9" t="s">
        <v>15</v>
      </c>
      <c r="K41" s="13"/>
      <c r="M41" s="13"/>
      <c r="N41" s="1"/>
      <c r="O41" s="6"/>
      <c r="P41" s="9" t="s">
        <v>15</v>
      </c>
      <c r="Q41" s="13"/>
    </row>
    <row r="42" spans="1:17" x14ac:dyDescent="0.25">
      <c r="A42" s="13"/>
      <c r="B42" s="1"/>
      <c r="C42" s="6"/>
      <c r="D42" s="9" t="s">
        <v>15</v>
      </c>
      <c r="E42" s="13"/>
      <c r="G42" s="13"/>
      <c r="H42" s="1"/>
      <c r="I42" s="6"/>
      <c r="J42" s="9" t="s">
        <v>15</v>
      </c>
      <c r="K42" s="13"/>
      <c r="M42" s="13"/>
      <c r="N42" s="1"/>
      <c r="O42" s="6"/>
      <c r="P42" s="9" t="s">
        <v>15</v>
      </c>
      <c r="Q42" s="13"/>
    </row>
    <row r="43" spans="1:17" x14ac:dyDescent="0.25">
      <c r="A43" s="13"/>
      <c r="B43" s="10" t="s">
        <v>3</v>
      </c>
      <c r="C43" s="8">
        <f>SUM(C28:C42)</f>
        <v>902264</v>
      </c>
      <c r="D43" s="11">
        <f ca="1">SUMIF($D$28:$D$42,"",$C$28:$C$41)</f>
        <v>0</v>
      </c>
      <c r="E43" s="13"/>
      <c r="G43" s="13"/>
      <c r="H43" s="10" t="s">
        <v>3</v>
      </c>
      <c r="I43" s="8">
        <f>SUM(I28:I42)</f>
        <v>807630</v>
      </c>
      <c r="J43" s="14">
        <f>SUMIF($J$28:$J$42,"",$I$28:$I$42)</f>
        <v>0</v>
      </c>
      <c r="K43" s="13"/>
      <c r="M43" s="13"/>
      <c r="N43" s="10" t="s">
        <v>3</v>
      </c>
      <c r="O43" s="8">
        <f>SUM(O28:O42)</f>
        <v>885142</v>
      </c>
      <c r="P43" s="14">
        <f>SUMIF($P$28:$P$42,"",$O$28:$O$42)</f>
        <v>0</v>
      </c>
      <c r="Q43" s="13"/>
    </row>
    <row r="44" spans="1:17" x14ac:dyDescent="0.25">
      <c r="A44" s="13"/>
      <c r="B44" s="2" t="s">
        <v>0</v>
      </c>
      <c r="C44" s="3">
        <v>1068654</v>
      </c>
      <c r="D44" s="13"/>
      <c r="E44" s="13"/>
      <c r="G44" s="13"/>
      <c r="H44" s="2" t="s">
        <v>0</v>
      </c>
      <c r="I44" s="3">
        <v>1900000</v>
      </c>
      <c r="J44" s="13"/>
      <c r="K44" s="13"/>
      <c r="M44" s="13"/>
      <c r="N44" s="2" t="s">
        <v>0</v>
      </c>
      <c r="O44" s="3"/>
      <c r="P44" s="13"/>
      <c r="Q44" s="13"/>
    </row>
    <row r="45" spans="1:17" x14ac:dyDescent="0.25">
      <c r="A45" s="13"/>
      <c r="B45" s="4" t="s">
        <v>1</v>
      </c>
      <c r="C45" s="5">
        <f>C44-C43</f>
        <v>166390</v>
      </c>
      <c r="D45" s="13"/>
      <c r="E45" s="13"/>
      <c r="G45" s="13"/>
      <c r="H45" s="4" t="s">
        <v>1</v>
      </c>
      <c r="I45" s="5">
        <f>I44-I43</f>
        <v>1092370</v>
      </c>
      <c r="J45" s="13"/>
      <c r="K45" s="13"/>
      <c r="M45" s="13"/>
      <c r="N45" s="4" t="s">
        <v>1</v>
      </c>
      <c r="O45" s="5">
        <f>O44-O43</f>
        <v>-885142</v>
      </c>
      <c r="P45" s="13"/>
      <c r="Q45" s="13"/>
    </row>
    <row r="46" spans="1:17" x14ac:dyDescent="0.25">
      <c r="A46" s="13"/>
      <c r="B46" s="13"/>
      <c r="C46" s="13"/>
      <c r="D46" s="13"/>
      <c r="E46" s="13"/>
      <c r="G46" s="13"/>
      <c r="H46" s="13"/>
      <c r="I46" s="13"/>
      <c r="J46" s="13"/>
      <c r="K46" s="13"/>
      <c r="M46" s="13"/>
      <c r="N46" s="13"/>
      <c r="O46" s="13"/>
      <c r="P46" s="13"/>
      <c r="Q46" s="13"/>
    </row>
    <row r="48" spans="1:17" x14ac:dyDescent="0.25">
      <c r="A48" s="13"/>
      <c r="B48" s="13"/>
      <c r="C48" s="13"/>
      <c r="D48" s="13"/>
      <c r="E48" s="13"/>
      <c r="G48" s="13"/>
      <c r="H48" s="13"/>
      <c r="I48" s="13"/>
      <c r="J48" s="13"/>
      <c r="K48" s="13"/>
      <c r="M48" s="13"/>
      <c r="N48" s="13"/>
      <c r="O48" s="13"/>
      <c r="P48" s="13"/>
      <c r="Q48" s="13"/>
    </row>
    <row r="49" spans="1:17" x14ac:dyDescent="0.25">
      <c r="A49" s="13"/>
      <c r="B49" s="38" t="s">
        <v>20</v>
      </c>
      <c r="C49" s="39"/>
      <c r="D49" s="7" t="s">
        <v>2</v>
      </c>
      <c r="E49" s="13"/>
      <c r="G49" s="13"/>
      <c r="H49" s="38" t="s">
        <v>21</v>
      </c>
      <c r="I49" s="39"/>
      <c r="J49" s="7" t="s">
        <v>2</v>
      </c>
      <c r="K49" s="13"/>
      <c r="M49" s="13"/>
      <c r="N49" s="38" t="s">
        <v>22</v>
      </c>
      <c r="O49" s="39"/>
      <c r="P49" s="7" t="s">
        <v>2</v>
      </c>
      <c r="Q49" s="13"/>
    </row>
    <row r="50" spans="1:17" x14ac:dyDescent="0.25">
      <c r="A50" s="13"/>
      <c r="B50" s="1" t="s">
        <v>177</v>
      </c>
      <c r="C50" s="6">
        <v>380000</v>
      </c>
      <c r="D50" s="9" t="s">
        <v>14</v>
      </c>
      <c r="E50" s="13"/>
      <c r="G50" s="13"/>
      <c r="H50" s="1" t="s">
        <v>177</v>
      </c>
      <c r="I50" s="6">
        <f>SUM(380000+39209+31379)</f>
        <v>450588</v>
      </c>
      <c r="J50" s="9" t="s">
        <v>14</v>
      </c>
      <c r="K50" s="13"/>
      <c r="M50" s="13"/>
      <c r="N50" s="1"/>
      <c r="O50" s="6"/>
      <c r="P50" s="9" t="s">
        <v>15</v>
      </c>
      <c r="Q50" s="24"/>
    </row>
    <row r="51" spans="1:17" x14ac:dyDescent="0.25">
      <c r="A51" s="13"/>
      <c r="B51" s="1" t="s">
        <v>80</v>
      </c>
      <c r="C51" s="6">
        <v>140000</v>
      </c>
      <c r="D51" s="9" t="s">
        <v>14</v>
      </c>
      <c r="E51" s="13"/>
      <c r="G51" s="13"/>
      <c r="H51" s="1" t="s">
        <v>80</v>
      </c>
      <c r="I51" s="6">
        <v>140000</v>
      </c>
      <c r="J51" s="9" t="s">
        <v>14</v>
      </c>
      <c r="K51" s="13"/>
      <c r="M51" s="13"/>
      <c r="N51" s="1"/>
      <c r="O51" s="6"/>
      <c r="P51" s="9" t="s">
        <v>15</v>
      </c>
      <c r="Q51" s="24"/>
    </row>
    <row r="52" spans="1:17" x14ac:dyDescent="0.25">
      <c r="A52" s="13"/>
      <c r="B52" s="1" t="s">
        <v>178</v>
      </c>
      <c r="C52" s="6">
        <f>SUM(17547+7693)</f>
        <v>25240</v>
      </c>
      <c r="D52" s="9" t="s">
        <v>14</v>
      </c>
      <c r="E52" s="13"/>
      <c r="G52" s="13"/>
      <c r="H52" s="1" t="s">
        <v>178</v>
      </c>
      <c r="I52" s="6">
        <f>SUM(11590+7693)</f>
        <v>19283</v>
      </c>
      <c r="J52" s="9" t="s">
        <v>14</v>
      </c>
      <c r="K52" s="13"/>
      <c r="M52" s="13"/>
      <c r="N52" s="1"/>
      <c r="O52" s="6"/>
      <c r="P52" s="9" t="s">
        <v>15</v>
      </c>
      <c r="Q52" s="24"/>
    </row>
    <row r="53" spans="1:17" x14ac:dyDescent="0.25">
      <c r="A53" s="13"/>
      <c r="B53" s="1" t="s">
        <v>185</v>
      </c>
      <c r="C53" s="6">
        <v>48421</v>
      </c>
      <c r="D53" s="9" t="s">
        <v>14</v>
      </c>
      <c r="E53" s="13"/>
      <c r="G53" s="13"/>
      <c r="H53" s="1" t="s">
        <v>185</v>
      </c>
      <c r="I53" s="6">
        <v>49042</v>
      </c>
      <c r="J53" s="9" t="s">
        <v>14</v>
      </c>
      <c r="K53" s="13"/>
      <c r="M53" s="13"/>
      <c r="N53" s="1"/>
      <c r="O53" s="6"/>
      <c r="P53" s="9" t="s">
        <v>15</v>
      </c>
      <c r="Q53" s="24"/>
    </row>
    <row r="54" spans="1:17" x14ac:dyDescent="0.25">
      <c r="A54" s="13"/>
      <c r="B54" s="1" t="s">
        <v>18</v>
      </c>
      <c r="C54" s="6">
        <v>76752</v>
      </c>
      <c r="D54" s="9" t="s">
        <v>14</v>
      </c>
      <c r="E54" s="13"/>
      <c r="G54" s="13"/>
      <c r="H54" s="1" t="s">
        <v>18</v>
      </c>
      <c r="I54" s="6">
        <v>8697</v>
      </c>
      <c r="J54" s="9" t="s">
        <v>14</v>
      </c>
      <c r="K54" s="13"/>
      <c r="M54" s="13"/>
      <c r="N54" s="1"/>
      <c r="O54" s="6"/>
      <c r="P54" s="9" t="s">
        <v>15</v>
      </c>
      <c r="Q54" s="24"/>
    </row>
    <row r="55" spans="1:17" x14ac:dyDescent="0.25">
      <c r="A55" s="13"/>
      <c r="B55" s="1" t="s">
        <v>27</v>
      </c>
      <c r="C55" s="6">
        <v>50670</v>
      </c>
      <c r="D55" s="9" t="s">
        <v>14</v>
      </c>
      <c r="E55" s="13"/>
      <c r="G55" s="13"/>
      <c r="H55" s="1" t="s">
        <v>27</v>
      </c>
      <c r="I55" s="6">
        <v>39288</v>
      </c>
      <c r="J55" s="9" t="s">
        <v>14</v>
      </c>
      <c r="K55" s="13"/>
      <c r="M55" s="13"/>
      <c r="N55" s="1"/>
      <c r="O55" s="6"/>
      <c r="P55" s="9" t="s">
        <v>15</v>
      </c>
      <c r="Q55" s="24"/>
    </row>
    <row r="56" spans="1:17" x14ac:dyDescent="0.25">
      <c r="A56" s="13"/>
      <c r="B56" s="1" t="s">
        <v>145</v>
      </c>
      <c r="C56" s="6">
        <v>41700</v>
      </c>
      <c r="D56" s="9" t="s">
        <v>14</v>
      </c>
      <c r="E56" s="13"/>
      <c r="G56" s="13"/>
      <c r="H56" s="1" t="s">
        <v>145</v>
      </c>
      <c r="I56" s="6">
        <v>51900</v>
      </c>
      <c r="J56" s="9" t="s">
        <v>14</v>
      </c>
      <c r="K56" s="13"/>
      <c r="M56" s="13"/>
      <c r="N56" s="1"/>
      <c r="O56" s="6"/>
      <c r="P56" s="9" t="s">
        <v>15</v>
      </c>
      <c r="Q56" s="24"/>
    </row>
    <row r="57" spans="1:17" x14ac:dyDescent="0.25">
      <c r="A57" s="13"/>
      <c r="B57" s="1" t="s">
        <v>83</v>
      </c>
      <c r="C57" s="6">
        <v>12160</v>
      </c>
      <c r="D57" s="9" t="s">
        <v>14</v>
      </c>
      <c r="E57" s="13"/>
      <c r="G57" s="13"/>
      <c r="H57" s="1" t="s">
        <v>83</v>
      </c>
      <c r="I57" s="6">
        <v>14410</v>
      </c>
      <c r="J57" s="9" t="s">
        <v>14</v>
      </c>
      <c r="K57" s="13"/>
      <c r="M57" s="13"/>
      <c r="N57" s="1"/>
      <c r="O57" s="6"/>
      <c r="P57" s="9" t="s">
        <v>15</v>
      </c>
      <c r="Q57" s="24"/>
    </row>
    <row r="58" spans="1:17" x14ac:dyDescent="0.25">
      <c r="A58" s="13"/>
      <c r="B58" s="1" t="s">
        <v>188</v>
      </c>
      <c r="C58" s="6">
        <v>107440</v>
      </c>
      <c r="D58" s="9" t="s">
        <v>15</v>
      </c>
      <c r="E58" s="13"/>
      <c r="G58" s="13"/>
      <c r="H58" s="1" t="s">
        <v>190</v>
      </c>
      <c r="I58" s="6">
        <v>107440</v>
      </c>
      <c r="J58" s="9" t="s">
        <v>14</v>
      </c>
      <c r="K58" s="13"/>
      <c r="M58" s="13"/>
      <c r="N58" s="1"/>
      <c r="O58" s="6"/>
      <c r="P58" s="9" t="s">
        <v>15</v>
      </c>
      <c r="Q58" s="24"/>
    </row>
    <row r="59" spans="1:17" x14ac:dyDescent="0.25">
      <c r="A59" s="13"/>
      <c r="B59" s="1" t="s">
        <v>147</v>
      </c>
      <c r="C59" s="6"/>
      <c r="D59" s="9" t="s">
        <v>15</v>
      </c>
      <c r="E59" s="13"/>
      <c r="G59" s="13"/>
      <c r="H59" s="1" t="s">
        <v>147</v>
      </c>
      <c r="I59" s="15">
        <v>30000</v>
      </c>
      <c r="J59" s="9" t="s">
        <v>14</v>
      </c>
      <c r="K59" s="13"/>
      <c r="M59" s="13"/>
      <c r="N59" s="1"/>
      <c r="O59" s="6"/>
      <c r="P59" s="9" t="s">
        <v>15</v>
      </c>
      <c r="Q59" s="24"/>
    </row>
    <row r="60" spans="1:17" x14ac:dyDescent="0.25">
      <c r="A60" s="13"/>
      <c r="B60" s="1" t="s">
        <v>187</v>
      </c>
      <c r="C60" s="6"/>
      <c r="D60" s="9" t="s">
        <v>15</v>
      </c>
      <c r="E60" s="13"/>
      <c r="G60" s="13"/>
      <c r="H60" s="1" t="s">
        <v>189</v>
      </c>
      <c r="I60" s="6">
        <v>100000</v>
      </c>
      <c r="J60" s="9" t="s">
        <v>14</v>
      </c>
      <c r="K60" s="13"/>
      <c r="M60" s="13"/>
      <c r="N60" s="1"/>
      <c r="O60" s="6"/>
      <c r="P60" s="9" t="s">
        <v>15</v>
      </c>
      <c r="Q60" s="24"/>
    </row>
    <row r="61" spans="1:17" x14ac:dyDescent="0.25">
      <c r="A61" s="13"/>
      <c r="B61" s="1" t="s">
        <v>186</v>
      </c>
      <c r="C61" s="6">
        <v>300000</v>
      </c>
      <c r="D61" s="9" t="s">
        <v>14</v>
      </c>
      <c r="E61" s="13"/>
      <c r="G61" s="13"/>
      <c r="H61" s="1" t="s">
        <v>191</v>
      </c>
      <c r="I61" s="6">
        <v>35000</v>
      </c>
      <c r="J61" s="9" t="s">
        <v>14</v>
      </c>
      <c r="K61" s="13"/>
      <c r="M61" s="13"/>
      <c r="N61" s="1"/>
      <c r="O61" s="6"/>
      <c r="P61" s="9" t="s">
        <v>15</v>
      </c>
      <c r="Q61" s="13"/>
    </row>
    <row r="62" spans="1:17" x14ac:dyDescent="0.25">
      <c r="A62" s="13"/>
      <c r="B62" s="1"/>
      <c r="C62" s="6"/>
      <c r="D62" s="9" t="s">
        <v>15</v>
      </c>
      <c r="E62" s="13"/>
      <c r="G62" s="13"/>
      <c r="H62" s="1"/>
      <c r="I62" s="6"/>
      <c r="J62" s="9" t="s">
        <v>15</v>
      </c>
      <c r="K62" s="13"/>
      <c r="M62" s="13"/>
      <c r="N62" s="1"/>
      <c r="O62" s="6"/>
      <c r="P62" s="9" t="s">
        <v>15</v>
      </c>
      <c r="Q62" s="13"/>
    </row>
    <row r="63" spans="1:17" x14ac:dyDescent="0.25">
      <c r="A63" s="13"/>
      <c r="B63" s="1"/>
      <c r="C63" s="6"/>
      <c r="D63" s="9" t="s">
        <v>15</v>
      </c>
      <c r="E63" s="13"/>
      <c r="G63" s="13"/>
      <c r="H63" s="1"/>
      <c r="I63" s="6"/>
      <c r="J63" s="9" t="s">
        <v>15</v>
      </c>
      <c r="K63" s="13"/>
      <c r="M63" s="13"/>
      <c r="N63" s="1"/>
      <c r="O63" s="6"/>
      <c r="P63" s="9" t="s">
        <v>15</v>
      </c>
      <c r="Q63" s="13"/>
    </row>
    <row r="64" spans="1:17" x14ac:dyDescent="0.25">
      <c r="A64" s="13"/>
      <c r="B64" s="1"/>
      <c r="C64" s="6"/>
      <c r="D64" s="9" t="s">
        <v>15</v>
      </c>
      <c r="E64" s="13"/>
      <c r="G64" s="13"/>
      <c r="H64" s="1"/>
      <c r="I64" s="6"/>
      <c r="J64" s="9" t="s">
        <v>15</v>
      </c>
      <c r="K64" s="13"/>
      <c r="M64" s="13"/>
      <c r="N64" s="1"/>
      <c r="O64" s="6"/>
      <c r="P64" s="9" t="s">
        <v>15</v>
      </c>
      <c r="Q64" s="13"/>
    </row>
    <row r="65" spans="1:17" x14ac:dyDescent="0.25">
      <c r="A65" s="13"/>
      <c r="B65" s="10" t="s">
        <v>3</v>
      </c>
      <c r="C65" s="8">
        <f>SUM(C50:C64)</f>
        <v>1182383</v>
      </c>
      <c r="D65" s="11">
        <f ca="1">SUMIF($D$28:$D$42,"",$C$28:$C$41)</f>
        <v>0</v>
      </c>
      <c r="E65" s="13"/>
      <c r="G65" s="13"/>
      <c r="H65" s="10" t="s">
        <v>3</v>
      </c>
      <c r="I65" s="8">
        <f>SUM(I50:I64)</f>
        <v>1045648</v>
      </c>
      <c r="J65" s="11">
        <f ca="1">SUMIF($D$28:$D$42,"",$C$28:$C$41)</f>
        <v>0</v>
      </c>
      <c r="K65" s="13"/>
      <c r="M65" s="13"/>
      <c r="N65" s="10" t="s">
        <v>3</v>
      </c>
      <c r="O65" s="8">
        <f>SUM(O50:O64)</f>
        <v>0</v>
      </c>
      <c r="P65" s="11">
        <f ca="1">SUMIF($D$28:$D$42,"",$C$28:$C$41)</f>
        <v>0</v>
      </c>
      <c r="Q65" s="13"/>
    </row>
    <row r="66" spans="1:17" x14ac:dyDescent="0.25">
      <c r="A66" s="13"/>
      <c r="B66" s="2" t="s">
        <v>0</v>
      </c>
      <c r="C66" s="3">
        <v>1280000</v>
      </c>
      <c r="D66" s="13"/>
      <c r="E66" s="13"/>
      <c r="G66" s="13"/>
      <c r="H66" s="2" t="s">
        <v>0</v>
      </c>
      <c r="I66" s="3">
        <v>1250000</v>
      </c>
      <c r="J66" s="13"/>
      <c r="K66" s="13"/>
      <c r="M66" s="13"/>
      <c r="N66" s="2" t="s">
        <v>0</v>
      </c>
      <c r="O66" s="3">
        <v>1200000</v>
      </c>
      <c r="P66" s="13"/>
      <c r="Q66" s="13"/>
    </row>
    <row r="67" spans="1:17" x14ac:dyDescent="0.25">
      <c r="A67" s="13"/>
      <c r="B67" s="4" t="s">
        <v>1</v>
      </c>
      <c r="C67" s="5">
        <f>C66-C65</f>
        <v>97617</v>
      </c>
      <c r="D67" s="13"/>
      <c r="E67" s="13"/>
      <c r="H67" s="4" t="s">
        <v>1</v>
      </c>
      <c r="I67" s="5">
        <f>I66-I65</f>
        <v>204352</v>
      </c>
      <c r="J67" s="13"/>
      <c r="N67" s="4" t="s">
        <v>1</v>
      </c>
      <c r="O67" s="5">
        <f>O66-O65</f>
        <v>1200000</v>
      </c>
      <c r="P67" s="13"/>
    </row>
    <row r="68" spans="1:17" x14ac:dyDescent="0.25">
      <c r="A68" s="13"/>
      <c r="B68" s="13"/>
      <c r="C68" s="13"/>
      <c r="D68" s="13"/>
      <c r="E68" s="13"/>
      <c r="G68" s="13"/>
      <c r="H68" s="13"/>
      <c r="I68" s="13"/>
      <c r="J68" s="13"/>
      <c r="K68" s="13"/>
      <c r="M68" s="13"/>
      <c r="N68" s="13"/>
      <c r="O68" s="13"/>
      <c r="P68" s="13"/>
      <c r="Q68" s="13"/>
    </row>
    <row r="69" spans="1:17" x14ac:dyDescent="0.25">
      <c r="A69" s="13"/>
      <c r="B69" s="38" t="s">
        <v>23</v>
      </c>
      <c r="C69" s="39"/>
      <c r="D69" s="7" t="s">
        <v>2</v>
      </c>
      <c r="E69" s="13"/>
      <c r="G69" s="13"/>
      <c r="H69" s="38" t="s">
        <v>24</v>
      </c>
      <c r="I69" s="39"/>
      <c r="J69" s="7" t="s">
        <v>2</v>
      </c>
      <c r="K69" s="13"/>
      <c r="M69" s="13"/>
      <c r="N69" s="38" t="s">
        <v>25</v>
      </c>
      <c r="O69" s="39"/>
      <c r="P69" s="7" t="s">
        <v>2</v>
      </c>
      <c r="Q69" s="13"/>
    </row>
    <row r="70" spans="1:17" x14ac:dyDescent="0.25">
      <c r="A70" s="13"/>
      <c r="B70" s="1"/>
      <c r="C70" s="6"/>
      <c r="D70" s="9" t="s">
        <v>15</v>
      </c>
      <c r="E70" s="13"/>
      <c r="G70" s="13"/>
      <c r="H70" s="1"/>
      <c r="I70" s="6"/>
      <c r="J70" s="9" t="s">
        <v>15</v>
      </c>
      <c r="K70" s="13"/>
      <c r="M70" s="13"/>
      <c r="N70" s="1"/>
      <c r="O70" s="6"/>
      <c r="P70" s="9" t="s">
        <v>15</v>
      </c>
      <c r="Q70" s="13"/>
    </row>
    <row r="71" spans="1:17" x14ac:dyDescent="0.25">
      <c r="A71" s="13"/>
      <c r="B71" s="1"/>
      <c r="C71" s="6"/>
      <c r="D71" s="9" t="s">
        <v>15</v>
      </c>
      <c r="E71" s="13"/>
      <c r="G71" s="13"/>
      <c r="H71" s="1"/>
      <c r="I71" s="6"/>
      <c r="J71" s="9" t="s">
        <v>15</v>
      </c>
      <c r="K71" s="13"/>
      <c r="M71" s="13"/>
      <c r="N71" s="1"/>
      <c r="O71" s="6"/>
      <c r="P71" s="9" t="s">
        <v>15</v>
      </c>
      <c r="Q71" s="13"/>
    </row>
    <row r="72" spans="1:17" x14ac:dyDescent="0.25">
      <c r="A72" s="13"/>
      <c r="B72" s="1"/>
      <c r="C72" s="6"/>
      <c r="D72" s="9" t="s">
        <v>15</v>
      </c>
      <c r="E72" s="13"/>
      <c r="G72" s="13"/>
      <c r="H72" s="1"/>
      <c r="I72" s="6"/>
      <c r="J72" s="9" t="s">
        <v>15</v>
      </c>
      <c r="K72" s="13"/>
      <c r="M72" s="13"/>
      <c r="N72" s="1"/>
      <c r="O72" s="6"/>
      <c r="P72" s="9" t="s">
        <v>15</v>
      </c>
      <c r="Q72" s="13"/>
    </row>
    <row r="73" spans="1:17" x14ac:dyDescent="0.25">
      <c r="A73" s="13"/>
      <c r="B73" s="1"/>
      <c r="C73" s="6"/>
      <c r="D73" s="9" t="s">
        <v>15</v>
      </c>
      <c r="E73" s="13"/>
      <c r="G73" s="13"/>
      <c r="H73" s="1"/>
      <c r="I73" s="6"/>
      <c r="J73" s="9" t="s">
        <v>15</v>
      </c>
      <c r="K73" s="13"/>
      <c r="M73" s="13"/>
      <c r="N73" s="1"/>
      <c r="O73" s="6"/>
      <c r="P73" s="9" t="s">
        <v>15</v>
      </c>
      <c r="Q73" s="13"/>
    </row>
    <row r="74" spans="1:17" x14ac:dyDescent="0.25">
      <c r="A74" s="13"/>
      <c r="B74" s="1"/>
      <c r="C74" s="6"/>
      <c r="D74" s="9" t="s">
        <v>15</v>
      </c>
      <c r="E74" s="13"/>
      <c r="G74" s="13"/>
      <c r="H74" s="1"/>
      <c r="I74" s="6"/>
      <c r="J74" s="9" t="s">
        <v>15</v>
      </c>
      <c r="K74" s="13"/>
      <c r="M74" s="13"/>
      <c r="N74" s="1"/>
      <c r="O74" s="6"/>
      <c r="P74" s="9" t="s">
        <v>15</v>
      </c>
      <c r="Q74" s="13"/>
    </row>
    <row r="75" spans="1:17" x14ac:dyDescent="0.25">
      <c r="A75" s="13"/>
      <c r="B75" s="1"/>
      <c r="C75" s="6"/>
      <c r="D75" s="9" t="s">
        <v>15</v>
      </c>
      <c r="E75" s="13"/>
      <c r="G75" s="13"/>
      <c r="H75" s="1"/>
      <c r="I75" s="6"/>
      <c r="J75" s="9" t="s">
        <v>15</v>
      </c>
      <c r="K75" s="13"/>
      <c r="M75" s="13"/>
      <c r="N75" s="1"/>
      <c r="O75" s="6"/>
      <c r="P75" s="9" t="s">
        <v>15</v>
      </c>
      <c r="Q75" s="13"/>
    </row>
    <row r="76" spans="1:17" x14ac:dyDescent="0.25">
      <c r="A76" s="13"/>
      <c r="B76" s="1"/>
      <c r="C76" s="6"/>
      <c r="D76" s="9" t="s">
        <v>15</v>
      </c>
      <c r="E76" s="13"/>
      <c r="G76" s="13"/>
      <c r="H76" s="1"/>
      <c r="I76" s="6"/>
      <c r="J76" s="9" t="s">
        <v>15</v>
      </c>
      <c r="K76" s="13"/>
      <c r="M76" s="13"/>
      <c r="N76" s="1"/>
      <c r="O76" s="6"/>
      <c r="P76" s="9" t="s">
        <v>15</v>
      </c>
      <c r="Q76" s="13"/>
    </row>
    <row r="77" spans="1:17" x14ac:dyDescent="0.25">
      <c r="A77" s="13"/>
      <c r="B77" s="1"/>
      <c r="C77" s="6"/>
      <c r="D77" s="9" t="s">
        <v>15</v>
      </c>
      <c r="E77" s="13"/>
      <c r="G77" s="13"/>
      <c r="H77" s="1"/>
      <c r="I77" s="6"/>
      <c r="J77" s="9" t="s">
        <v>15</v>
      </c>
      <c r="K77" s="13"/>
      <c r="M77" s="13"/>
      <c r="N77" s="1"/>
      <c r="O77" s="6"/>
      <c r="P77" s="9" t="s">
        <v>15</v>
      </c>
      <c r="Q77" s="13"/>
    </row>
    <row r="78" spans="1:17" x14ac:dyDescent="0.25">
      <c r="A78" s="13"/>
      <c r="B78" s="1"/>
      <c r="C78" s="6"/>
      <c r="D78" s="9" t="s">
        <v>15</v>
      </c>
      <c r="E78" s="13"/>
      <c r="G78" s="13"/>
      <c r="H78" s="1"/>
      <c r="I78" s="6"/>
      <c r="J78" s="9" t="s">
        <v>15</v>
      </c>
      <c r="K78" s="13"/>
      <c r="M78" s="13"/>
      <c r="N78" s="1"/>
      <c r="O78" s="6"/>
      <c r="P78" s="9" t="s">
        <v>15</v>
      </c>
      <c r="Q78" s="13"/>
    </row>
    <row r="79" spans="1:17" x14ac:dyDescent="0.25">
      <c r="A79" s="13"/>
      <c r="B79" s="1"/>
      <c r="C79" s="6"/>
      <c r="D79" s="9" t="s">
        <v>15</v>
      </c>
      <c r="E79" s="13"/>
      <c r="G79" s="13"/>
      <c r="H79" s="1"/>
      <c r="I79" s="6"/>
      <c r="J79" s="9" t="s">
        <v>15</v>
      </c>
      <c r="K79" s="13"/>
      <c r="M79" s="13"/>
      <c r="N79" s="1"/>
      <c r="O79" s="6"/>
      <c r="P79" s="9" t="s">
        <v>15</v>
      </c>
      <c r="Q79" s="13"/>
    </row>
    <row r="80" spans="1:17" x14ac:dyDescent="0.25">
      <c r="A80" s="13"/>
      <c r="B80" s="1"/>
      <c r="C80" s="6"/>
      <c r="D80" s="9" t="s">
        <v>15</v>
      </c>
      <c r="E80" s="13"/>
      <c r="G80" s="13"/>
      <c r="H80" s="1"/>
      <c r="I80" s="6"/>
      <c r="J80" s="9" t="s">
        <v>15</v>
      </c>
      <c r="K80" s="13"/>
      <c r="M80" s="13"/>
      <c r="N80" s="1"/>
      <c r="O80" s="6"/>
      <c r="P80" s="9" t="s">
        <v>15</v>
      </c>
      <c r="Q80" s="13"/>
    </row>
    <row r="81" spans="1:17" x14ac:dyDescent="0.25">
      <c r="A81" s="13"/>
      <c r="B81" s="1"/>
      <c r="C81" s="6"/>
      <c r="D81" s="9" t="s">
        <v>15</v>
      </c>
      <c r="E81" s="13"/>
      <c r="G81" s="13"/>
      <c r="H81" s="1"/>
      <c r="I81" s="6"/>
      <c r="J81" s="9" t="s">
        <v>15</v>
      </c>
      <c r="K81" s="13"/>
      <c r="M81" s="13"/>
      <c r="N81" s="1"/>
      <c r="O81" s="6"/>
      <c r="P81" s="9" t="s">
        <v>15</v>
      </c>
      <c r="Q81" s="13"/>
    </row>
    <row r="82" spans="1:17" x14ac:dyDescent="0.25">
      <c r="A82" s="13"/>
      <c r="B82" s="1"/>
      <c r="C82" s="6"/>
      <c r="D82" s="9" t="s">
        <v>15</v>
      </c>
      <c r="E82" s="13"/>
      <c r="G82" s="13"/>
      <c r="H82" s="1"/>
      <c r="I82" s="6"/>
      <c r="J82" s="9" t="s">
        <v>15</v>
      </c>
      <c r="K82" s="13"/>
      <c r="M82" s="13"/>
      <c r="N82" s="1"/>
      <c r="O82" s="6"/>
      <c r="P82" s="9" t="s">
        <v>15</v>
      </c>
      <c r="Q82" s="13"/>
    </row>
    <row r="83" spans="1:17" x14ac:dyDescent="0.25">
      <c r="A83" s="13"/>
      <c r="B83" s="1"/>
      <c r="C83" s="6"/>
      <c r="D83" s="9" t="s">
        <v>15</v>
      </c>
      <c r="E83" s="13"/>
      <c r="G83" s="13"/>
      <c r="H83" s="1"/>
      <c r="I83" s="6"/>
      <c r="J83" s="9" t="s">
        <v>15</v>
      </c>
      <c r="K83" s="13"/>
      <c r="M83" s="13"/>
      <c r="N83" s="1"/>
      <c r="O83" s="6"/>
      <c r="P83" s="9" t="s">
        <v>15</v>
      </c>
      <c r="Q83" s="13"/>
    </row>
    <row r="84" spans="1:17" x14ac:dyDescent="0.25">
      <c r="A84" s="13"/>
      <c r="B84" s="10" t="s">
        <v>3</v>
      </c>
      <c r="C84" s="8">
        <f>SUM(C70:C83)</f>
        <v>0</v>
      </c>
      <c r="D84" s="11">
        <f ca="1">SUMIF($D$28:$D$42,"",$C$28:$C$41)</f>
        <v>0</v>
      </c>
      <c r="E84" s="13"/>
      <c r="G84" s="13"/>
      <c r="H84" s="10" t="s">
        <v>3</v>
      </c>
      <c r="I84" s="8">
        <f>SUM(I70:I83)</f>
        <v>0</v>
      </c>
      <c r="J84" s="11">
        <f ca="1">SUMIF($D$28:$D$42,"",$C$28:$C$41)</f>
        <v>0</v>
      </c>
      <c r="K84" s="13"/>
      <c r="M84" s="13"/>
      <c r="N84" s="10" t="s">
        <v>3</v>
      </c>
      <c r="O84" s="8">
        <f>SUM(O70:O83)</f>
        <v>0</v>
      </c>
      <c r="P84" s="11">
        <f ca="1">SUMIF($D$28:$D$42,"",$C$28:$C$41)</f>
        <v>0</v>
      </c>
      <c r="Q84" s="13"/>
    </row>
    <row r="85" spans="1:17" x14ac:dyDescent="0.25">
      <c r="B85" s="2" t="s">
        <v>0</v>
      </c>
      <c r="C85" s="3">
        <v>1138111</v>
      </c>
      <c r="D85" s="13"/>
      <c r="H85" s="2" t="s">
        <v>0</v>
      </c>
      <c r="I85" s="3">
        <v>954000</v>
      </c>
      <c r="J85" s="13"/>
      <c r="N85" s="2" t="s">
        <v>0</v>
      </c>
      <c r="O85" s="3">
        <v>905000</v>
      </c>
      <c r="P85" s="13"/>
    </row>
    <row r="86" spans="1:17" x14ac:dyDescent="0.25">
      <c r="A86" s="13"/>
      <c r="B86" s="18" t="s">
        <v>1</v>
      </c>
      <c r="C86" s="19">
        <f>C85-C84</f>
        <v>1138111</v>
      </c>
      <c r="D86" s="13"/>
      <c r="E86" s="13"/>
      <c r="H86" s="18" t="s">
        <v>1</v>
      </c>
      <c r="I86" s="19">
        <f>I85-I84</f>
        <v>954000</v>
      </c>
      <c r="J86" s="13"/>
      <c r="N86" s="18" t="s">
        <v>1</v>
      </c>
      <c r="O86" s="19">
        <f>O85-O84</f>
        <v>905000</v>
      </c>
      <c r="P86" s="13"/>
    </row>
    <row r="87" spans="1:17" s="21" customFormat="1" x14ac:dyDescent="0.25">
      <c r="A87" s="20"/>
      <c r="B87" s="16"/>
      <c r="C87" s="17"/>
      <c r="D87" s="20"/>
      <c r="E87" s="20"/>
      <c r="H87" s="22"/>
      <c r="I87" s="23"/>
      <c r="J87" s="20"/>
      <c r="N87" s="22"/>
      <c r="O87" s="23"/>
      <c r="P87" s="20"/>
    </row>
    <row r="88" spans="1:17" x14ac:dyDescent="0.25">
      <c r="A88" s="13"/>
      <c r="B88" s="38" t="s">
        <v>170</v>
      </c>
      <c r="C88" s="39"/>
      <c r="D88" s="7" t="s">
        <v>2</v>
      </c>
      <c r="E88" s="13"/>
    </row>
    <row r="89" spans="1:17" x14ac:dyDescent="0.25">
      <c r="A89" s="13"/>
      <c r="B89" s="32" t="s">
        <v>166</v>
      </c>
      <c r="C89" s="6">
        <v>77500</v>
      </c>
      <c r="D89" s="9" t="s">
        <v>15</v>
      </c>
      <c r="E89" s="13"/>
    </row>
    <row r="90" spans="1:17" x14ac:dyDescent="0.25">
      <c r="A90" s="13"/>
      <c r="B90" s="1" t="s">
        <v>167</v>
      </c>
      <c r="C90" s="6">
        <v>49000</v>
      </c>
      <c r="D90" s="9" t="s">
        <v>15</v>
      </c>
      <c r="E90" s="13"/>
    </row>
    <row r="91" spans="1:17" x14ac:dyDescent="0.25">
      <c r="A91" s="13"/>
      <c r="B91" s="1"/>
      <c r="C91" s="6"/>
      <c r="D91" s="9" t="s">
        <v>15</v>
      </c>
      <c r="E91" s="13"/>
      <c r="H91" s="34"/>
      <c r="I91" s="33"/>
      <c r="J91" s="33"/>
    </row>
    <row r="92" spans="1:17" x14ac:dyDescent="0.25">
      <c r="A92" s="13"/>
      <c r="B92" s="32"/>
      <c r="C92" s="6"/>
      <c r="D92" s="9" t="s">
        <v>15</v>
      </c>
      <c r="E92" s="13"/>
    </row>
    <row r="93" spans="1:17" x14ac:dyDescent="0.25">
      <c r="A93" s="13"/>
      <c r="B93" s="1"/>
      <c r="C93" s="6"/>
      <c r="D93" s="9" t="s">
        <v>15</v>
      </c>
      <c r="E93" s="13"/>
    </row>
    <row r="94" spans="1:17" x14ac:dyDescent="0.25">
      <c r="A94" s="13"/>
      <c r="B94" s="1"/>
      <c r="C94" s="6"/>
      <c r="D94" s="9" t="s">
        <v>15</v>
      </c>
      <c r="E94" s="13"/>
    </row>
    <row r="95" spans="1:17" x14ac:dyDescent="0.25">
      <c r="A95" s="13"/>
      <c r="B95" s="1"/>
      <c r="C95" s="6"/>
      <c r="D95" s="9" t="s">
        <v>15</v>
      </c>
      <c r="E95" s="13"/>
    </row>
    <row r="96" spans="1:17" x14ac:dyDescent="0.25">
      <c r="A96" s="13"/>
      <c r="B96" s="1"/>
      <c r="C96" s="6"/>
      <c r="D96" s="9" t="s">
        <v>15</v>
      </c>
      <c r="E96" s="13"/>
    </row>
    <row r="97" spans="1:5" x14ac:dyDescent="0.25">
      <c r="A97" s="13"/>
      <c r="B97" s="1"/>
      <c r="C97" s="6"/>
      <c r="D97" s="9" t="s">
        <v>15</v>
      </c>
      <c r="E97" s="13"/>
    </row>
    <row r="98" spans="1:5" x14ac:dyDescent="0.25">
      <c r="A98" s="13"/>
      <c r="B98" s="1"/>
      <c r="C98" s="6"/>
      <c r="D98" s="9" t="s">
        <v>15</v>
      </c>
      <c r="E98" s="13"/>
    </row>
    <row r="99" spans="1:5" x14ac:dyDescent="0.25">
      <c r="A99" s="13"/>
      <c r="B99" s="1"/>
      <c r="C99" s="6"/>
      <c r="D99" s="9" t="s">
        <v>15</v>
      </c>
      <c r="E99" s="13"/>
    </row>
    <row r="100" spans="1:5" x14ac:dyDescent="0.25">
      <c r="A100" s="13"/>
      <c r="B100" s="1"/>
      <c r="C100" s="6"/>
      <c r="D100" s="9" t="s">
        <v>15</v>
      </c>
      <c r="E100" s="13"/>
    </row>
    <row r="101" spans="1:5" x14ac:dyDescent="0.25">
      <c r="A101" s="13"/>
      <c r="B101" s="1"/>
      <c r="C101" s="6"/>
      <c r="D101" s="9" t="s">
        <v>15</v>
      </c>
      <c r="E101" s="13"/>
    </row>
    <row r="102" spans="1:5" x14ac:dyDescent="0.25">
      <c r="A102" s="13"/>
      <c r="B102" s="1"/>
      <c r="C102" s="6"/>
      <c r="D102" s="9" t="s">
        <v>15</v>
      </c>
      <c r="E102" s="13"/>
    </row>
    <row r="103" spans="1:5" x14ac:dyDescent="0.25">
      <c r="A103" s="13"/>
      <c r="B103" s="10" t="s">
        <v>3</v>
      </c>
      <c r="C103" s="8">
        <f>SUM(C89:C102)</f>
        <v>126500</v>
      </c>
      <c r="D103" s="11">
        <f ca="1">SUMIF($D$28:$D$42,"",$C$28:$C$41)</f>
        <v>0</v>
      </c>
      <c r="E103" s="13"/>
    </row>
    <row r="104" spans="1:5" x14ac:dyDescent="0.25">
      <c r="B104" s="2" t="s">
        <v>0</v>
      </c>
      <c r="C104" s="3">
        <v>100000</v>
      </c>
      <c r="D104" s="13"/>
    </row>
    <row r="105" spans="1:5" x14ac:dyDescent="0.25">
      <c r="B105" s="4" t="s">
        <v>1</v>
      </c>
      <c r="C105" s="31">
        <f>C103-C104</f>
        <v>26500</v>
      </c>
      <c r="D105" s="13"/>
    </row>
  </sheetData>
  <mergeCells count="13">
    <mergeCell ref="B3:C3"/>
    <mergeCell ref="H3:I3"/>
    <mergeCell ref="N3:O3"/>
    <mergeCell ref="B27:C27"/>
    <mergeCell ref="H27:I27"/>
    <mergeCell ref="N27:O27"/>
    <mergeCell ref="B88:C88"/>
    <mergeCell ref="B49:C49"/>
    <mergeCell ref="H49:I49"/>
    <mergeCell ref="N49:O49"/>
    <mergeCell ref="B69:C69"/>
    <mergeCell ref="H69:I69"/>
    <mergeCell ref="N69:O69"/>
  </mergeCells>
  <conditionalFormatting sqref="D4:D17">
    <cfRule type="cellIs" dxfId="25" priority="1" operator="equal">
      <formula>"EN DEUDA"</formula>
    </cfRule>
    <cfRule type="cellIs" dxfId="24" priority="2" operator="equal">
      <formula>"PAGADO"</formula>
    </cfRule>
  </conditionalFormatting>
  <conditionalFormatting sqref="D28:D42">
    <cfRule type="cellIs" dxfId="23" priority="21" operator="equal">
      <formula>"EN DEUDA"</formula>
    </cfRule>
    <cfRule type="cellIs" dxfId="22" priority="22" operator="equal">
      <formula>"PAGADO"</formula>
    </cfRule>
  </conditionalFormatting>
  <conditionalFormatting sqref="D50:D64">
    <cfRule type="cellIs" dxfId="21" priority="15" operator="equal">
      <formula>"EN DEUDA"</formula>
    </cfRule>
    <cfRule type="cellIs" dxfId="20" priority="16" operator="equal">
      <formula>"PAGADO"</formula>
    </cfRule>
  </conditionalFormatting>
  <conditionalFormatting sqref="D70:D83">
    <cfRule type="cellIs" dxfId="19" priority="9" operator="equal">
      <formula>"EN DEUDA"</formula>
    </cfRule>
    <cfRule type="cellIs" dxfId="18" priority="10" operator="equal">
      <formula>"PAGADO"</formula>
    </cfRule>
  </conditionalFormatting>
  <conditionalFormatting sqref="D89:D102">
    <cfRule type="cellIs" dxfId="17" priority="3" operator="equal">
      <formula>"EN DEUDA"</formula>
    </cfRule>
    <cfRule type="cellIs" dxfId="16" priority="4" operator="equal">
      <formula>"PAGADO"</formula>
    </cfRule>
  </conditionalFormatting>
  <conditionalFormatting sqref="J4:J17">
    <cfRule type="cellIs" dxfId="15" priority="25" operator="equal">
      <formula>"EN DEUDA"</formula>
    </cfRule>
    <cfRule type="cellIs" dxfId="14" priority="26" operator="equal">
      <formula>"PAGADO"</formula>
    </cfRule>
  </conditionalFormatting>
  <conditionalFormatting sqref="J28:J42">
    <cfRule type="cellIs" dxfId="13" priority="19" operator="equal">
      <formula>"EN DEUDA"</formula>
    </cfRule>
    <cfRule type="cellIs" dxfId="12" priority="20" operator="equal">
      <formula>"PAGADO"</formula>
    </cfRule>
  </conditionalFormatting>
  <conditionalFormatting sqref="J50:J64">
    <cfRule type="cellIs" dxfId="11" priority="13" operator="equal">
      <formula>"EN DEUDA"</formula>
    </cfRule>
    <cfRule type="cellIs" dxfId="10" priority="14" operator="equal">
      <formula>"PAGADO"</formula>
    </cfRule>
  </conditionalFormatting>
  <conditionalFormatting sqref="J70:J83">
    <cfRule type="cellIs" dxfId="9" priority="7" operator="equal">
      <formula>"EN DEUDA"</formula>
    </cfRule>
    <cfRule type="cellIs" dxfId="8" priority="8" operator="equal">
      <formula>"PAGADO"</formula>
    </cfRule>
  </conditionalFormatting>
  <conditionalFormatting sqref="P4:P17">
    <cfRule type="cellIs" dxfId="7" priority="23" operator="equal">
      <formula>"EN DEUDA"</formula>
    </cfRule>
    <cfRule type="cellIs" dxfId="6" priority="24" operator="equal">
      <formula>"PAGADO"</formula>
    </cfRule>
  </conditionalFormatting>
  <conditionalFormatting sqref="P28:P42">
    <cfRule type="cellIs" dxfId="5" priority="17" operator="equal">
      <formula>"EN DEUDA"</formula>
    </cfRule>
    <cfRule type="cellIs" dxfId="4" priority="18" operator="equal">
      <formula>"PAGADO"</formula>
    </cfRule>
  </conditionalFormatting>
  <conditionalFormatting sqref="P50:P64">
    <cfRule type="cellIs" dxfId="3" priority="11" operator="equal">
      <formula>"EN DEUDA"</formula>
    </cfRule>
    <cfRule type="cellIs" dxfId="2" priority="12" operator="equal">
      <formula>"PAGADO"</formula>
    </cfRule>
  </conditionalFormatting>
  <conditionalFormatting sqref="P70:P83">
    <cfRule type="cellIs" dxfId="1" priority="5" operator="equal">
      <formula>"EN DEUDA"</formula>
    </cfRule>
    <cfRule type="cellIs" dxfId="0" priority="6" operator="equal">
      <formula>"PAGADO"</formula>
    </cfRule>
  </conditionalFormatting>
  <dataValidations count="1">
    <dataValidation type="list" allowBlank="1" showInputMessage="1" showErrorMessage="1" sqref="P28:P42 D50:D64 J4:J17 P4:P17 J70:J83 J50:J64 D28:D42 D70:D83 D4:D17 J28:J42 D89:D102 P50:P64 P70:P83" xr:uid="{3E0C951C-4B5E-40D9-BE07-842021F59E37}">
      <formula1>"PAGADO,EN DEUDA"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0A9D-579D-4D48-986C-7A1043FCAB4E}">
  <dimension ref="A1:D29"/>
  <sheetViews>
    <sheetView workbookViewId="0">
      <selection activeCell="C27" sqref="C27"/>
    </sheetView>
  </sheetViews>
  <sheetFormatPr baseColWidth="10" defaultRowHeight="15" x14ac:dyDescent="0.25"/>
  <cols>
    <col min="1" max="1" width="10.7109375" bestFit="1" customWidth="1"/>
  </cols>
  <sheetData>
    <row r="1" spans="1:4" x14ac:dyDescent="0.25">
      <c r="A1" t="s">
        <v>153</v>
      </c>
      <c r="B1" t="s">
        <v>154</v>
      </c>
      <c r="C1" t="s">
        <v>155</v>
      </c>
      <c r="D1" t="s">
        <v>156</v>
      </c>
    </row>
    <row r="2" spans="1:4" x14ac:dyDescent="0.25">
      <c r="A2" s="35">
        <v>46052</v>
      </c>
      <c r="B2" t="s">
        <v>157</v>
      </c>
      <c r="C2" t="s">
        <v>158</v>
      </c>
      <c r="D2" t="s">
        <v>159</v>
      </c>
    </row>
    <row r="3" spans="1:4" x14ac:dyDescent="0.25">
      <c r="A3" s="35">
        <v>46052</v>
      </c>
      <c r="B3" t="s">
        <v>157</v>
      </c>
      <c r="C3" t="s">
        <v>158</v>
      </c>
      <c r="D3" t="s">
        <v>160</v>
      </c>
    </row>
    <row r="4" spans="1:4" x14ac:dyDescent="0.25">
      <c r="A4" s="35">
        <v>46043</v>
      </c>
      <c r="B4" t="s">
        <v>157</v>
      </c>
      <c r="C4" t="s">
        <v>158</v>
      </c>
      <c r="D4" t="s">
        <v>161</v>
      </c>
    </row>
    <row r="5" spans="1:4" x14ac:dyDescent="0.25">
      <c r="A5" s="35">
        <v>46038</v>
      </c>
      <c r="B5" t="s">
        <v>157</v>
      </c>
      <c r="C5" t="s">
        <v>158</v>
      </c>
      <c r="D5" t="s">
        <v>162</v>
      </c>
    </row>
    <row r="6" spans="1:4" x14ac:dyDescent="0.25">
      <c r="A6" s="35">
        <v>46036</v>
      </c>
      <c r="B6" t="s">
        <v>157</v>
      </c>
      <c r="C6" t="s">
        <v>158</v>
      </c>
      <c r="D6" t="s">
        <v>163</v>
      </c>
    </row>
    <row r="7" spans="1:4" x14ac:dyDescent="0.25">
      <c r="A7" s="35">
        <v>46034</v>
      </c>
      <c r="B7" t="s">
        <v>157</v>
      </c>
      <c r="C7" t="s">
        <v>158</v>
      </c>
      <c r="D7" t="s">
        <v>164</v>
      </c>
    </row>
    <row r="8" spans="1:4" x14ac:dyDescent="0.25">
      <c r="A8" s="35">
        <v>46027</v>
      </c>
      <c r="B8" t="s">
        <v>157</v>
      </c>
      <c r="C8" t="s">
        <v>158</v>
      </c>
      <c r="D8" t="s">
        <v>165</v>
      </c>
    </row>
    <row r="9" spans="1:4" x14ac:dyDescent="0.25">
      <c r="A9" s="35"/>
    </row>
    <row r="10" spans="1:4" x14ac:dyDescent="0.25">
      <c r="C10" s="34" t="s">
        <v>166</v>
      </c>
      <c r="D10" s="36">
        <v>77500</v>
      </c>
    </row>
    <row r="11" spans="1:4" x14ac:dyDescent="0.25">
      <c r="C11" s="34" t="s">
        <v>167</v>
      </c>
      <c r="D11" s="36">
        <v>49000</v>
      </c>
    </row>
    <row r="12" spans="1:4" x14ac:dyDescent="0.25">
      <c r="C12" s="34" t="s">
        <v>168</v>
      </c>
      <c r="D12" s="37">
        <v>126500</v>
      </c>
    </row>
    <row r="13" spans="1:4" x14ac:dyDescent="0.25">
      <c r="C13" s="34" t="s">
        <v>171</v>
      </c>
      <c r="D13" s="36">
        <v>100000</v>
      </c>
    </row>
    <row r="14" spans="1:4" x14ac:dyDescent="0.25">
      <c r="C14" s="34" t="s">
        <v>169</v>
      </c>
      <c r="D14" s="37">
        <v>26500</v>
      </c>
    </row>
    <row r="15" spans="1:4" x14ac:dyDescent="0.25">
      <c r="C15" s="34" t="s">
        <v>175</v>
      </c>
      <c r="D15" s="36">
        <v>55000</v>
      </c>
    </row>
    <row r="16" spans="1:4" x14ac:dyDescent="0.25">
      <c r="D16" s="36">
        <f>D15+D14</f>
        <v>81500</v>
      </c>
    </row>
    <row r="17" spans="3:4" x14ac:dyDescent="0.25">
      <c r="C17" s="34" t="s">
        <v>171</v>
      </c>
      <c r="D17" s="36">
        <v>70000</v>
      </c>
    </row>
    <row r="18" spans="3:4" x14ac:dyDescent="0.25">
      <c r="C18" s="34" t="s">
        <v>176</v>
      </c>
      <c r="D18" s="36">
        <f>D16-D17</f>
        <v>11500</v>
      </c>
    </row>
    <row r="21" spans="3:4" x14ac:dyDescent="0.25">
      <c r="C21" s="34" t="s">
        <v>179</v>
      </c>
      <c r="D21" s="36">
        <f>129316+D18</f>
        <v>140816</v>
      </c>
    </row>
    <row r="22" spans="3:4" x14ac:dyDescent="0.25">
      <c r="C22" s="34" t="s">
        <v>180</v>
      </c>
      <c r="D22">
        <v>80000</v>
      </c>
    </row>
    <row r="23" spans="3:4" x14ac:dyDescent="0.25">
      <c r="C23" s="34" t="s">
        <v>169</v>
      </c>
      <c r="D23" s="36">
        <f>D21-D22</f>
        <v>60816</v>
      </c>
    </row>
    <row r="25" spans="3:4" x14ac:dyDescent="0.25">
      <c r="C25" s="34" t="s">
        <v>182</v>
      </c>
      <c r="D25">
        <v>35000</v>
      </c>
    </row>
    <row r="26" spans="3:4" x14ac:dyDescent="0.25">
      <c r="C26" s="34" t="s">
        <v>169</v>
      </c>
      <c r="D26" s="36">
        <f>D23-D25</f>
        <v>25816</v>
      </c>
    </row>
    <row r="27" spans="3:4" x14ac:dyDescent="0.25">
      <c r="C27" s="34" t="s">
        <v>183</v>
      </c>
      <c r="D27">
        <v>25000</v>
      </c>
    </row>
    <row r="29" spans="3:4" x14ac:dyDescent="0.25">
      <c r="C29" s="34" t="s">
        <v>184</v>
      </c>
      <c r="D29" s="36">
        <f>D27+D26</f>
        <v>50816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2023</vt:lpstr>
      <vt:lpstr>2024</vt:lpstr>
      <vt:lpstr>2025</vt:lpstr>
      <vt:lpstr>2026</vt:lpstr>
      <vt:lpstr>Cuenta Luz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Aparicio Jimenez</dc:creator>
  <cp:keywords/>
  <dc:description/>
  <cp:lastModifiedBy>Rodrigo Aparicio</cp:lastModifiedBy>
  <dcterms:created xsi:type="dcterms:W3CDTF">2016-08-30T11:21:16Z</dcterms:created>
  <dcterms:modified xsi:type="dcterms:W3CDTF">2026-08-29T15:36:27Z</dcterms:modified>
  <cp:category/>
</cp:coreProperties>
</file>